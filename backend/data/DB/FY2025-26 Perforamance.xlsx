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vi.kumar\Downloads\"/>
    </mc:Choice>
  </mc:AlternateContent>
  <xr:revisionPtr revIDLastSave="0" documentId="13_ncr:1_{BDCE0DBE-7A49-43DB-A158-D8395D702805}" xr6:coauthVersionLast="47" xr6:coauthVersionMax="47" xr10:uidLastSave="{00000000-0000-0000-0000-000000000000}"/>
  <bookViews>
    <workbookView xWindow="-120" yWindow="-120" windowWidth="29040" windowHeight="15720" activeTab="4" xr2:uid="{DBE3DBE8-19D3-4F30-AD32-F986DBD59A19}"/>
  </bookViews>
  <sheets>
    <sheet name="Annexure-V-Production " sheetId="1" r:id="rId1"/>
    <sheet name="Annexure-III-Expl. Drl" sheetId="4" r:id="rId2"/>
    <sheet name="Annexure-IV-Dev. Drl" sheetId="5" r:id="rId3"/>
    <sheet name="Annexure-I-2D" sheetId="2" r:id="rId4"/>
    <sheet name="Annexure-II-3D" sheetId="3" r:id="rId5"/>
  </sheets>
  <definedNames>
    <definedName name="_xlnm._FilterDatabase" localSheetId="3" hidden="1">'Annexure-I-2D'!$A$5:$E$29</definedName>
    <definedName name="_xlnm._FilterDatabase" localSheetId="4" hidden="1">'Annexure-II-3D'!$A$5:$E$5</definedName>
    <definedName name="_xlnm._FilterDatabase" localSheetId="1" hidden="1">'Annexure-III-Expl. Drl'!$A$5:$E$50</definedName>
    <definedName name="_xlnm._FilterDatabase" localSheetId="2" hidden="1">'Annexure-IV-Dev. Drl'!$A$7:$F$15</definedName>
    <definedName name="_xlnm.Print_Area" localSheetId="3">'Annexure-I-2D'!$A$1:$G$47</definedName>
    <definedName name="_xlnm.Print_Area" localSheetId="4">'Annexure-II-3D'!$A$1:$G$48</definedName>
    <definedName name="_xlnm.Print_Area" localSheetId="1">'Annexure-III-Expl. Drl'!$A$1:$I$61</definedName>
    <definedName name="_xlnm.Print_Area" localSheetId="2">'Annexure-IV-Dev. Drl'!$A$1:$J$15</definedName>
    <definedName name="_xlnm.Print_Area" localSheetId="0">'Annexure-V-Production '!$A$1:$F$36</definedName>
    <definedName name="_xlnm.Print_Titles" localSheetId="3">'Annexure-I-2D'!$5:$5</definedName>
    <definedName name="_xlnm.Print_Titles" localSheetId="4">'Annexure-II-3D'!$5:$5</definedName>
    <definedName name="_xlnm.Print_Titles" localSheetId="1">'Annexure-III-Expl. Drl'!$5:$5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" l="1"/>
  <c r="I11" i="5"/>
  <c r="I12" i="5"/>
  <c r="I8" i="5"/>
  <c r="G28" i="1"/>
  <c r="E42" i="3" l="1"/>
  <c r="J8" i="5"/>
  <c r="I8" i="4"/>
  <c r="J9" i="5"/>
  <c r="E10" i="5"/>
  <c r="I10" i="5" s="1"/>
  <c r="F10" i="5"/>
  <c r="J11" i="5"/>
  <c r="J12" i="5"/>
  <c r="E13" i="5"/>
  <c r="I13" i="5" s="1"/>
  <c r="F13" i="5"/>
  <c r="J14" i="5"/>
  <c r="I9" i="4"/>
  <c r="I10" i="4"/>
  <c r="E11" i="4"/>
  <c r="F11" i="4"/>
  <c r="I12" i="4"/>
  <c r="I13" i="4"/>
  <c r="I14" i="4"/>
  <c r="I15" i="4"/>
  <c r="E16" i="4"/>
  <c r="F16" i="4"/>
  <c r="I17" i="4"/>
  <c r="I18" i="4"/>
  <c r="I19" i="4"/>
  <c r="I20" i="4"/>
  <c r="I21" i="4"/>
  <c r="I22" i="4"/>
  <c r="I23" i="4"/>
  <c r="I24" i="4"/>
  <c r="I25" i="4"/>
  <c r="E26" i="4"/>
  <c r="I26" i="4" s="1"/>
  <c r="F26" i="4"/>
  <c r="E27" i="4"/>
  <c r="I28" i="4"/>
  <c r="I29" i="4"/>
  <c r="I30" i="4"/>
  <c r="I31" i="4"/>
  <c r="I32" i="4"/>
  <c r="E33" i="4"/>
  <c r="F33" i="4"/>
  <c r="I34" i="4"/>
  <c r="I35" i="4"/>
  <c r="I36" i="4"/>
  <c r="I37" i="4"/>
  <c r="I38" i="4"/>
  <c r="I39" i="4"/>
  <c r="E40" i="4"/>
  <c r="F40" i="4"/>
  <c r="I41" i="4"/>
  <c r="I42" i="4"/>
  <c r="I43" i="4"/>
  <c r="I44" i="4"/>
  <c r="E45" i="4"/>
  <c r="I45" i="4" s="1"/>
  <c r="F45" i="4"/>
  <c r="I46" i="4"/>
  <c r="I47" i="4"/>
  <c r="E48" i="4"/>
  <c r="F48" i="4"/>
  <c r="I49" i="4"/>
  <c r="I50" i="4"/>
  <c r="E51" i="4"/>
  <c r="F51" i="4"/>
  <c r="I52" i="4"/>
  <c r="E53" i="4"/>
  <c r="F53" i="4"/>
  <c r="I54" i="4"/>
  <c r="I55" i="4"/>
  <c r="E56" i="4"/>
  <c r="F56" i="4"/>
  <c r="I57" i="4"/>
  <c r="E58" i="4"/>
  <c r="F58" i="4"/>
  <c r="I59" i="4"/>
  <c r="E60" i="4"/>
  <c r="F60" i="4"/>
  <c r="E9" i="3"/>
  <c r="E11" i="3"/>
  <c r="E14" i="3"/>
  <c r="E18" i="3"/>
  <c r="E22" i="3"/>
  <c r="E27" i="3"/>
  <c r="E30" i="3"/>
  <c r="E33" i="3"/>
  <c r="E35" i="3"/>
  <c r="E45" i="3"/>
  <c r="E47" i="3"/>
  <c r="E9" i="2"/>
  <c r="E11" i="2"/>
  <c r="E15" i="2"/>
  <c r="E17" i="2"/>
  <c r="E21" i="2"/>
  <c r="E26" i="2"/>
  <c r="E29" i="2"/>
  <c r="E32" i="2"/>
  <c r="E34" i="2"/>
  <c r="E41" i="2"/>
  <c r="E44" i="2"/>
  <c r="E46" i="2"/>
  <c r="E14" i="5"/>
  <c r="I14" i="5" s="1"/>
  <c r="F14" i="5"/>
  <c r="I27" i="4"/>
  <c r="I51" i="4"/>
  <c r="I16" i="4"/>
  <c r="I48" i="4"/>
  <c r="I33" i="4"/>
  <c r="J10" i="5"/>
  <c r="I60" i="4"/>
  <c r="I53" i="4"/>
  <c r="E61" i="4" l="1"/>
  <c r="E15" i="5" s="1"/>
  <c r="I15" i="5" s="1"/>
  <c r="F61" i="4"/>
  <c r="F15" i="5" s="1"/>
  <c r="J15" i="5"/>
  <c r="I56" i="4"/>
  <c r="E48" i="3"/>
  <c r="I11" i="4"/>
  <c r="E47" i="2"/>
  <c r="J13" i="5"/>
  <c r="I40" i="4"/>
  <c r="I58" i="4" l="1"/>
  <c r="I61" i="4" l="1"/>
</calcChain>
</file>

<file path=xl/sharedStrings.xml><?xml version="1.0" encoding="utf-8"?>
<sst xmlns="http://schemas.openxmlformats.org/spreadsheetml/2006/main" count="502" uniqueCount="200">
  <si>
    <t>Annexure II (A)</t>
  </si>
  <si>
    <t>OIL INDIA LIMITED</t>
  </si>
  <si>
    <t>Exploratory Drilling</t>
  </si>
  <si>
    <t>Round</t>
  </si>
  <si>
    <t>State</t>
  </si>
  <si>
    <t>Area / Blocks</t>
  </si>
  <si>
    <t>Unit</t>
  </si>
  <si>
    <t>2025-26 BE</t>
  </si>
  <si>
    <t>Cum. Ach. FY 25-26</t>
  </si>
  <si>
    <t>%Ach. Of Annual Target</t>
  </si>
  <si>
    <t>Meterage</t>
  </si>
  <si>
    <t>No of Wells</t>
  </si>
  <si>
    <t>Target</t>
  </si>
  <si>
    <t>Actual</t>
  </si>
  <si>
    <t>% Ach</t>
  </si>
  <si>
    <t>Nominated</t>
  </si>
  <si>
    <t>Assam &amp; AP</t>
  </si>
  <si>
    <t>PML</t>
  </si>
  <si>
    <t xml:space="preserve">Meter </t>
  </si>
  <si>
    <t>PEL</t>
  </si>
  <si>
    <t>Rajasthan</t>
  </si>
  <si>
    <t>Total Exploratory Drilling in Nominated Blocks</t>
  </si>
  <si>
    <t>NELP</t>
  </si>
  <si>
    <t>Mizoram</t>
  </si>
  <si>
    <t>MZ-ONN-2004/1
Mizoram</t>
  </si>
  <si>
    <t xml:space="preserve">Assam </t>
  </si>
  <si>
    <t>AA-ONN-2010/2 Karbi Along</t>
  </si>
  <si>
    <t>Assam</t>
  </si>
  <si>
    <t>AA-ONN-2010/3 Sadiya</t>
  </si>
  <si>
    <t>Andhra Pradesh + Puducherry</t>
  </si>
  <si>
    <t>KG-ONN-2004/1</t>
  </si>
  <si>
    <t>Total Exploratory Drilling in NELP Blocks</t>
  </si>
  <si>
    <t>OALP-I</t>
  </si>
  <si>
    <t>AA-ONHP-2017/10
Kobochapori</t>
  </si>
  <si>
    <t>Assam+AP</t>
  </si>
  <si>
    <t>AA-ONHP-2017/12
West Mechaki</t>
  </si>
  <si>
    <t>Arunachal Pradesh</t>
  </si>
  <si>
    <t>AA-ONHP-2017/13 Chongkham</t>
  </si>
  <si>
    <t>AA-ONHP-2017/16
Namsai</t>
  </si>
  <si>
    <t>Assam + AP</t>
  </si>
  <si>
    <t>AA-ONHP-2017/17 Pasighat</t>
  </si>
  <si>
    <t>AA-ONHP-2017/18 North Bank</t>
  </si>
  <si>
    <t xml:space="preserve">AA-ONHP-2017/20
Namrup Borhat
</t>
  </si>
  <si>
    <t>RJ-ONHP-2017/8
South Baghewala</t>
  </si>
  <si>
    <t>RJ-ONHP-2017/9
Siyasar</t>
  </si>
  <si>
    <t>Total Exploratory Drilling in OALP-I Blocks</t>
  </si>
  <si>
    <t>OALP-II</t>
  </si>
  <si>
    <t>Andaman Offshore</t>
  </si>
  <si>
    <t>AN-OSHP-2018/1 Andaman East</t>
  </si>
  <si>
    <t>AN-OSHP-2018/2 Andaman West</t>
  </si>
  <si>
    <t>Odisha</t>
  </si>
  <si>
    <t>MN-ONHP-2018/1 Cuttack</t>
  </si>
  <si>
    <t>MN-ONHP-2018/2 Puri</t>
  </si>
  <si>
    <t>MN-ONHP-2018/3 Chandbali</t>
  </si>
  <si>
    <t>MN-ONHP-2018/4
Jajpur</t>
  </si>
  <si>
    <t>Total Exploratory Drilling in OALP-II Blocks</t>
  </si>
  <si>
    <t>OALP-III</t>
  </si>
  <si>
    <t>Nagaland</t>
  </si>
  <si>
    <t>AA-ONHP-2018/2
Nagaland</t>
  </si>
  <si>
    <t>AA-ONHP-2018/3 Dima Hasao</t>
  </si>
  <si>
    <t>Tripura</t>
  </si>
  <si>
    <t>AA-ONHP-2018/5 Tripura</t>
  </si>
  <si>
    <t>Kerala-Konkan Offshore</t>
  </si>
  <si>
    <t>KK-OSHP-2018/1 Kerala Konkan</t>
  </si>
  <si>
    <t>MN-ONHP-2018/5 Cuttack - III</t>
  </si>
  <si>
    <t>RJ-ONHP-2018/2
Siyasar-II</t>
  </si>
  <si>
    <t>Total Exploratory Drilling in OALP-III Blocks</t>
  </si>
  <si>
    <t>OALP-V</t>
  </si>
  <si>
    <t xml:space="preserve">AA-ONHP-2019/1 Biswanath Charali </t>
  </si>
  <si>
    <t>AA-ONHP-2019/2
Lakhimpur</t>
  </si>
  <si>
    <t>RJ-ONHP-2019/2
Jamba</t>
  </si>
  <si>
    <t>RJ-ONHP-2019/3
Nagrasar</t>
  </si>
  <si>
    <t>Total Exploratory Drilling in OALP-V Blocks</t>
  </si>
  <si>
    <t>OALP-VI</t>
  </si>
  <si>
    <t>AA-ONHP-2020/1 Langtarai</t>
  </si>
  <si>
    <t>AA-ONHP-2020/3 Khubal</t>
  </si>
  <si>
    <t>Total Exploratory Drilling in OALP-VI Blocks</t>
  </si>
  <si>
    <t>OALP-VII</t>
  </si>
  <si>
    <t>AS-ONHP-2021/2 Patshala</t>
  </si>
  <si>
    <t>AS-ONHP-2021/3 Mangaldoi</t>
  </si>
  <si>
    <t>Total Exploratory Drilling in OALP-VII Blocks</t>
  </si>
  <si>
    <t>OALP-VIII</t>
  </si>
  <si>
    <t>AS-ONHP-2022/1
Dhekiajuli</t>
  </si>
  <si>
    <t>Total Exploratory Drilling in OALP-VIII Blocks</t>
  </si>
  <si>
    <t>DSF-II</t>
  </si>
  <si>
    <t>Andhra Pradesh Offshore</t>
  </si>
  <si>
    <t>KG/OSDSF/GSKW/ 2018</t>
  </si>
  <si>
    <t>AA/ONDSF/Tulamara/ 2018</t>
  </si>
  <si>
    <t>Total Exploratory Drilling in DSF-II Blocks</t>
  </si>
  <si>
    <t>DSF-III</t>
  </si>
  <si>
    <t>RJ/ONDSF /Bakhritibba /2021</t>
  </si>
  <si>
    <t>Total Exploratory Drilling in DSF-III Blocks</t>
  </si>
  <si>
    <t>Overseas</t>
  </si>
  <si>
    <t>Gabon</t>
  </si>
  <si>
    <t>Shakti</t>
  </si>
  <si>
    <t>Total Exploratory Drilling in Overseas Operating Blocks</t>
  </si>
  <si>
    <t>Annesure I</t>
  </si>
  <si>
    <t>Cum. Target</t>
  </si>
  <si>
    <t>Cumulative Achievement</t>
  </si>
  <si>
    <t>% Ach. Of Annual Target</t>
  </si>
  <si>
    <t>Activity</t>
  </si>
  <si>
    <t>Ach%</t>
  </si>
  <si>
    <t>Crude Oil Production</t>
  </si>
  <si>
    <t>MMT</t>
  </si>
  <si>
    <t>Rajasthan (Nomination)</t>
  </si>
  <si>
    <t>Condensate Production</t>
  </si>
  <si>
    <t>Rajasthan (Bhakritibba_DSF III Block)</t>
  </si>
  <si>
    <t>Total Crude Oil Production (W/o JV)</t>
  </si>
  <si>
    <t>40% JV Shares - Kharsang</t>
  </si>
  <si>
    <t>44.086% JV Shares - Dirok</t>
  </si>
  <si>
    <t>70% in NRB-2 (OALP -I)</t>
  </si>
  <si>
    <t>Total Crude Oil Production (With JV)</t>
  </si>
  <si>
    <t>Crude Oil Delivery</t>
  </si>
  <si>
    <t>Total Crude Oil Delivery (W/o JV)</t>
  </si>
  <si>
    <t>Total Crude Oil Delivery (With JV)</t>
  </si>
  <si>
    <t>Natural Gas Production</t>
  </si>
  <si>
    <t>MMSCM</t>
  </si>
  <si>
    <t>Rajasthan DSF III</t>
  </si>
  <si>
    <t>Total Natural Gas Production (W/o JV)</t>
  </si>
  <si>
    <t>Total Natural Gas Production (With JV)</t>
  </si>
  <si>
    <t>Natural Gas Sale</t>
  </si>
  <si>
    <t>Total Natural Gas Sale (W/o JV)</t>
  </si>
  <si>
    <t>JV - Dirok Gas*</t>
  </si>
  <si>
    <t>Total Natural Gas Sale (With JV)</t>
  </si>
  <si>
    <t>LPG Production</t>
  </si>
  <si>
    <t>TMT</t>
  </si>
  <si>
    <t>Annexure II (B)</t>
  </si>
  <si>
    <t>Development Drilling</t>
  </si>
  <si>
    <t>Total Development Drilling in Nominated Blocks</t>
  </si>
  <si>
    <t>KG/OSDSF/GSKW /2018</t>
  </si>
  <si>
    <t>AA/ONDSF/ Tulamara / 2018</t>
  </si>
  <si>
    <t>Total Development Drilling in DSF-II Blocks</t>
  </si>
  <si>
    <t>Total Development Drilling</t>
  </si>
  <si>
    <t xml:space="preserve"> Grand Total Drilling 
(Exploratory + Development)</t>
  </si>
  <si>
    <t>Annexure III (A)</t>
  </si>
  <si>
    <t>2D Seismic Survey (LKM)</t>
  </si>
  <si>
    <t>2025-26</t>
  </si>
  <si>
    <t>BE</t>
  </si>
  <si>
    <t>LKM</t>
  </si>
  <si>
    <t xml:space="preserve">Total Nominated </t>
  </si>
  <si>
    <t>Total NELP</t>
  </si>
  <si>
    <t>AA-ONHP-2017/13
Chongkham</t>
  </si>
  <si>
    <t>AA-ONHP-2017/18
North Bank-I</t>
  </si>
  <si>
    <t>Total OALP-I</t>
  </si>
  <si>
    <t>Total OALP-II</t>
  </si>
  <si>
    <t>AA-ONHP-2018/3
Dima Hasao</t>
  </si>
  <si>
    <t>AA-ONHP-2018/5
Tripura</t>
  </si>
  <si>
    <t>Total OALP-III</t>
  </si>
  <si>
    <t xml:space="preserve">AA-ONHP-2019/1
Biswanath Charali </t>
  </si>
  <si>
    <t>RJ-ONHP-2019/2</t>
  </si>
  <si>
    <t>RJ-ONHP-2019/3</t>
  </si>
  <si>
    <t>Total OALP-V</t>
  </si>
  <si>
    <t>OALP - VI</t>
  </si>
  <si>
    <t>AA-ONHP-2020/1</t>
  </si>
  <si>
    <t>AA-ONHP-2020/3</t>
  </si>
  <si>
    <t>Total OALP-VI</t>
  </si>
  <si>
    <t>AS-ONHP-2021/2</t>
  </si>
  <si>
    <t>AS-ONHP-2021/3</t>
  </si>
  <si>
    <t>Total OALP-VII</t>
  </si>
  <si>
    <t>AS-ONHP-2022/1 Dhekiajuli</t>
  </si>
  <si>
    <t>Total OALP-VIII</t>
  </si>
  <si>
    <t>OALP -IX</t>
  </si>
  <si>
    <t>Mahanadi Offshore</t>
  </si>
  <si>
    <t>MN-UDWHP-2023/3</t>
  </si>
  <si>
    <t>MN-UDWHP-2023/2</t>
  </si>
  <si>
    <t>KG Offshore</t>
  </si>
  <si>
    <t>KG-UDWHP-2023/1</t>
  </si>
  <si>
    <t>KG-UDWHP-2023/2</t>
  </si>
  <si>
    <t>Future OALP blocks</t>
  </si>
  <si>
    <t>Total OALP-IX</t>
  </si>
  <si>
    <t>KG/OSDSF/GSKW/2018</t>
  </si>
  <si>
    <t>AA/ONDSF/Tulamara/2018</t>
  </si>
  <si>
    <t>Total DSF-II</t>
  </si>
  <si>
    <t>Total Overseas Operating Block</t>
  </si>
  <si>
    <t>Grand Total - 2D Survey</t>
  </si>
  <si>
    <t>Annexure III (B)</t>
  </si>
  <si>
    <t>3D Seismic Survey (SQKM)</t>
  </si>
  <si>
    <t>(BE)</t>
  </si>
  <si>
    <t xml:space="preserve">                              SQKM                                                            SQKM                                                                                                                        SQKM   </t>
  </si>
  <si>
    <t>Total Nominated</t>
  </si>
  <si>
    <t>AA-ONHP-2017/12</t>
  </si>
  <si>
    <t>AA-ONHP-2017/20</t>
  </si>
  <si>
    <t>MN-ONHP-2018/1</t>
  </si>
  <si>
    <t>MN-ONHP-2018/3</t>
  </si>
  <si>
    <t>MN-ONHP-2018/4</t>
  </si>
  <si>
    <t>OALP - III</t>
  </si>
  <si>
    <t>AA-ONHP-2018/2</t>
  </si>
  <si>
    <t>AA-ONHP-2018/3</t>
  </si>
  <si>
    <t>OALP IX</t>
  </si>
  <si>
    <t>Krishna-Godavari Offshore</t>
  </si>
  <si>
    <t>--</t>
  </si>
  <si>
    <t>Total OALP IX</t>
  </si>
  <si>
    <t>AA/ONDSF/Tulamara/
2018</t>
  </si>
  <si>
    <t>Overseas  Operating Block - Gabon</t>
  </si>
  <si>
    <t>Grand Total</t>
  </si>
  <si>
    <t>Cambay</t>
  </si>
  <si>
    <t>CB-ONHP-2023/1</t>
  </si>
  <si>
    <t>Production &amp; Delivery of Crude Oil, Natural Gas &amp; LPG for the month of March 2026</t>
  </si>
  <si>
    <t>Drilling Performance for the month of March 2026</t>
  </si>
  <si>
    <t>Seismic Survey Performance during the month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</si>
</sst>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"/>
    <numFmt numFmtId="165" formatCode="0.000000"/>
    <numFmt numFmtId="166" formatCode="_-* #,##0.00_-;\-* #,##0.00_-;_-* &quot;-&quot;??_-;_-@_-"/>
    <numFmt numFmtId="167" formatCode="_-* #,##0.000_-;\-* #,##0.0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Display"/>
      <family val="1"/>
      <scheme val="major"/>
    </font>
    <font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4"/>
      <name val="Arial"/>
      <family val="2"/>
    </font>
    <font>
      <sz val="10"/>
      <color rgb="FFC00000"/>
      <name val="Tahoma"/>
      <family val="2"/>
    </font>
    <font>
      <sz val="11"/>
      <name val="Aptos Display"/>
      <family val="1"/>
      <scheme val="major"/>
    </font>
    <font>
      <sz val="11"/>
      <color rgb="FFC00000"/>
      <name val="Aptos Display"/>
      <family val="1"/>
      <scheme val="major"/>
    </font>
    <font>
      <b/>
      <sz val="11"/>
      <name val="Aptos Display"/>
      <family val="1"/>
      <scheme val="major"/>
    </font>
    <font>
      <u/>
      <sz val="12"/>
      <name val="Aptos Display"/>
      <family val="2"/>
      <scheme val="major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sz val="12"/>
      <color rgb="FFC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name val="Aptos Display"/>
      <family val="2"/>
      <scheme val="major"/>
    </font>
    <font>
      <b/>
      <sz val="11"/>
      <name val="Aptos Display"/>
      <family val="2"/>
      <scheme val="maj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000000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21" fillId="0" borderId="0"/>
  </cellStyleXfs>
  <cellXfs count="361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5" fillId="0" borderId="0" xfId="3" applyFont="1"/>
    <xf numFmtId="0" fontId="5" fillId="0" borderId="0" xfId="3" applyFont="1" applyAlignment="1">
      <alignment horizontal="center" vertical="top"/>
    </xf>
    <xf numFmtId="0" fontId="5" fillId="0" borderId="0" xfId="3" applyFont="1" applyAlignment="1">
      <alignment vertical="top"/>
    </xf>
    <xf numFmtId="164" fontId="7" fillId="0" borderId="0" xfId="3" applyNumberFormat="1" applyFont="1"/>
    <xf numFmtId="0" fontId="5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right" vertical="center"/>
    </xf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165" fontId="5" fillId="0" borderId="26" xfId="0" applyNumberFormat="1" applyFont="1" applyBorder="1" applyAlignment="1">
      <alignment horizontal="right" vertical="center"/>
    </xf>
    <xf numFmtId="165" fontId="5" fillId="0" borderId="23" xfId="0" applyNumberFormat="1" applyFont="1" applyBorder="1" applyAlignment="1">
      <alignment horizontal="right" vertical="center"/>
    </xf>
    <xf numFmtId="10" fontId="5" fillId="0" borderId="24" xfId="2" applyNumberFormat="1" applyFont="1" applyFill="1" applyBorder="1" applyAlignment="1">
      <alignment horizontal="right" vertical="center"/>
    </xf>
    <xf numFmtId="0" fontId="5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right" vertical="center" wrapText="1"/>
    </xf>
    <xf numFmtId="165" fontId="4" fillId="0" borderId="23" xfId="0" applyNumberFormat="1" applyFont="1" applyBorder="1" applyAlignment="1">
      <alignment horizontal="right" vertical="center" wrapText="1"/>
    </xf>
    <xf numFmtId="10" fontId="4" fillId="0" borderId="24" xfId="2" applyNumberFormat="1" applyFont="1" applyFill="1" applyBorder="1" applyAlignment="1">
      <alignment horizontal="right" vertical="center" wrapText="1"/>
    </xf>
    <xf numFmtId="165" fontId="4" fillId="0" borderId="32" xfId="0" applyNumberFormat="1" applyFont="1" applyBorder="1" applyAlignment="1">
      <alignment horizontal="right" vertical="center" wrapText="1"/>
    </xf>
    <xf numFmtId="165" fontId="4" fillId="0" borderId="10" xfId="0" applyNumberFormat="1" applyFont="1" applyBorder="1" applyAlignment="1">
      <alignment horizontal="right" vertical="center" wrapText="1"/>
    </xf>
    <xf numFmtId="10" fontId="4" fillId="0" borderId="31" xfId="2" applyNumberFormat="1" applyFont="1" applyFill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7" fontId="4" fillId="0" borderId="13" xfId="1" applyNumberFormat="1" applyFont="1" applyFill="1" applyBorder="1" applyAlignment="1">
      <alignment horizontal="right" vertical="center"/>
    </xf>
    <xf numFmtId="167" fontId="4" fillId="0" borderId="34" xfId="1" applyNumberFormat="1" applyFont="1" applyFill="1" applyBorder="1" applyAlignment="1">
      <alignment horizontal="right" vertical="center"/>
    </xf>
    <xf numFmtId="10" fontId="4" fillId="0" borderId="14" xfId="2" applyNumberFormat="1" applyFont="1" applyFill="1" applyBorder="1" applyAlignment="1">
      <alignment horizontal="right" vertical="center"/>
    </xf>
    <xf numFmtId="165" fontId="4" fillId="0" borderId="26" xfId="0" applyNumberFormat="1" applyFont="1" applyBorder="1" applyAlignment="1">
      <alignment horizontal="right" vertical="center"/>
    </xf>
    <xf numFmtId="165" fontId="4" fillId="0" borderId="23" xfId="0" applyNumberFormat="1" applyFont="1" applyBorder="1" applyAlignment="1">
      <alignment horizontal="right" vertical="center"/>
    </xf>
    <xf numFmtId="10" fontId="4" fillId="0" borderId="24" xfId="2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0" borderId="23" xfId="0" applyFont="1" applyBorder="1" applyAlignment="1">
      <alignment horizontal="center" vertical="center" wrapText="1"/>
    </xf>
    <xf numFmtId="17" fontId="4" fillId="0" borderId="24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3" fillId="0" borderId="0" xfId="0" applyFont="1"/>
    <xf numFmtId="0" fontId="14" fillId="0" borderId="0" xfId="0" applyFont="1"/>
    <xf numFmtId="0" fontId="12" fillId="0" borderId="1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9" fontId="13" fillId="0" borderId="24" xfId="2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17" fontId="12" fillId="0" borderId="24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3" fillId="0" borderId="48" xfId="0" applyFont="1" applyBorder="1"/>
    <xf numFmtId="0" fontId="13" fillId="0" borderId="3" xfId="0" applyFont="1" applyBorder="1"/>
    <xf numFmtId="0" fontId="15" fillId="0" borderId="0" xfId="0" applyFont="1"/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0" xfId="0" applyFont="1" applyFill="1"/>
    <xf numFmtId="0" fontId="12" fillId="0" borderId="23" xfId="0" applyFont="1" applyBorder="1" applyAlignment="1">
      <alignment horizontal="center" vertical="center" textRotation="90"/>
    </xf>
    <xf numFmtId="17" fontId="16" fillId="3" borderId="50" xfId="0" applyNumberFormat="1" applyFont="1" applyFill="1" applyBorder="1" applyAlignment="1">
      <alignment horizontal="center" vertical="center" wrapText="1"/>
    </xf>
    <xf numFmtId="17" fontId="12" fillId="0" borderId="2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7" fillId="0" borderId="0" xfId="0" applyFont="1" applyAlignment="1">
      <alignment horizontal="right"/>
    </xf>
    <xf numFmtId="0" fontId="13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/>
    </xf>
    <xf numFmtId="17" fontId="4" fillId="0" borderId="26" xfId="0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right"/>
    </xf>
    <xf numFmtId="0" fontId="20" fillId="0" borderId="40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17" fontId="20" fillId="0" borderId="10" xfId="0" applyNumberFormat="1" applyFont="1" applyBorder="1" applyAlignment="1">
      <alignment horizontal="center" vertical="center" wrapText="1"/>
    </xf>
    <xf numFmtId="17" fontId="20" fillId="0" borderId="31" xfId="0" applyNumberFormat="1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 wrapText="1"/>
    </xf>
    <xf numFmtId="0" fontId="18" fillId="0" borderId="47" xfId="0" applyFont="1" applyBorder="1" applyAlignment="1">
      <alignment horizontal="left" vertical="center" wrapText="1"/>
    </xf>
    <xf numFmtId="0" fontId="20" fillId="0" borderId="52" xfId="0" applyFont="1" applyBorder="1" applyAlignment="1">
      <alignment horizontal="center" vertical="center" textRotation="90"/>
    </xf>
    <xf numFmtId="0" fontId="20" fillId="0" borderId="1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0" fontId="13" fillId="0" borderId="31" xfId="2" applyNumberFormat="1" applyFont="1" applyFill="1" applyBorder="1" applyAlignment="1">
      <alignment horizontal="center" vertical="center"/>
    </xf>
    <xf numFmtId="10" fontId="13" fillId="0" borderId="24" xfId="2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7" fontId="20" fillId="0" borderId="15" xfId="0" applyNumberFormat="1" applyFont="1" applyBorder="1" applyAlignment="1">
      <alignment horizontal="center" vertical="center" wrapText="1"/>
    </xf>
    <xf numFmtId="1" fontId="18" fillId="0" borderId="55" xfId="0" applyNumberFormat="1" applyFont="1" applyBorder="1" applyAlignment="1">
      <alignment horizontal="center" vertical="center" wrapText="1"/>
    </xf>
    <xf numFmtId="1" fontId="18" fillId="0" borderId="28" xfId="0" applyNumberFormat="1" applyFont="1" applyBorder="1" applyAlignment="1">
      <alignment horizontal="center" vertical="center" wrapText="1"/>
    </xf>
    <xf numFmtId="1" fontId="20" fillId="0" borderId="28" xfId="0" applyNumberFormat="1" applyFont="1" applyBorder="1" applyAlignment="1">
      <alignment horizontal="center" vertical="center" wrapText="1"/>
    </xf>
    <xf numFmtId="1" fontId="20" fillId="0" borderId="15" xfId="0" applyNumberFormat="1" applyFont="1" applyBorder="1" applyAlignment="1">
      <alignment horizontal="center" vertical="center" wrapText="1"/>
    </xf>
    <xf numFmtId="17" fontId="20" fillId="0" borderId="28" xfId="0" applyNumberFormat="1" applyFont="1" applyBorder="1" applyAlignment="1">
      <alignment vertical="center" wrapText="1"/>
    </xf>
    <xf numFmtId="17" fontId="20" fillId="0" borderId="24" xfId="0" applyNumberFormat="1" applyFont="1" applyBorder="1" applyAlignment="1">
      <alignment vertical="center" wrapText="1"/>
    </xf>
    <xf numFmtId="17" fontId="20" fillId="0" borderId="12" xfId="0" applyNumberFormat="1" applyFont="1" applyBorder="1" applyAlignment="1">
      <alignment horizontal="center" vertical="center" wrapText="1"/>
    </xf>
    <xf numFmtId="10" fontId="18" fillId="0" borderId="57" xfId="2" applyNumberFormat="1" applyFont="1" applyFill="1" applyBorder="1" applyAlignment="1">
      <alignment horizontal="center" vertical="center"/>
    </xf>
    <xf numFmtId="10" fontId="18" fillId="0" borderId="25" xfId="2" applyNumberFormat="1" applyFont="1" applyFill="1" applyBorder="1" applyAlignment="1">
      <alignment horizontal="center" vertical="center"/>
    </xf>
    <xf numFmtId="10" fontId="20" fillId="0" borderId="25" xfId="2" applyNumberFormat="1" applyFont="1" applyFill="1" applyBorder="1" applyAlignment="1">
      <alignment horizontal="center" vertical="center"/>
    </xf>
    <xf numFmtId="10" fontId="20" fillId="0" borderId="12" xfId="2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vertical="center" wrapText="1"/>
    </xf>
    <xf numFmtId="165" fontId="5" fillId="0" borderId="39" xfId="0" applyNumberFormat="1" applyFont="1" applyBorder="1" applyAlignment="1">
      <alignment horizontal="right" vertical="center"/>
    </xf>
    <xf numFmtId="165" fontId="5" fillId="0" borderId="7" xfId="0" applyNumberFormat="1" applyFont="1" applyBorder="1" applyAlignment="1">
      <alignment horizontal="right" vertical="center"/>
    </xf>
    <xf numFmtId="10" fontId="5" fillId="0" borderId="43" xfId="2" applyNumberFormat="1" applyFont="1" applyFill="1" applyBorder="1" applyAlignment="1">
      <alignment horizontal="right" vertical="center"/>
    </xf>
    <xf numFmtId="0" fontId="18" fillId="0" borderId="4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5" fillId="0" borderId="59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1" fontId="16" fillId="0" borderId="40" xfId="0" applyNumberFormat="1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17" fontId="12" fillId="0" borderId="42" xfId="0" applyNumberFormat="1" applyFont="1" applyBorder="1" applyAlignment="1">
      <alignment horizontal="center" vertical="center" wrapText="1"/>
    </xf>
    <xf numFmtId="17" fontId="12" fillId="0" borderId="5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0" fontId="15" fillId="0" borderId="18" xfId="2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10" fontId="8" fillId="0" borderId="24" xfId="2" applyNumberFormat="1" applyFont="1" applyBorder="1" applyAlignment="1">
      <alignment horizontal="center" vertical="center"/>
    </xf>
    <xf numFmtId="9" fontId="13" fillId="0" borderId="24" xfId="2" quotePrefix="1" applyFont="1" applyFill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10" fontId="8" fillId="0" borderId="43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10" fontId="8" fillId="0" borderId="31" xfId="2" applyNumberFormat="1" applyFont="1" applyBorder="1" applyAlignment="1">
      <alignment horizontal="center" vertical="center"/>
    </xf>
    <xf numFmtId="164" fontId="13" fillId="0" borderId="26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16" fillId="4" borderId="45" xfId="0" applyFont="1" applyFill="1" applyBorder="1" applyAlignment="1">
      <alignment horizontal="center" vertical="center" wrapText="1"/>
    </xf>
    <xf numFmtId="17" fontId="4" fillId="0" borderId="17" xfId="0" applyNumberFormat="1" applyFont="1" applyBorder="1" applyAlignment="1">
      <alignment horizontal="center" vertical="center" wrapText="1"/>
    </xf>
    <xf numFmtId="17" fontId="4" fillId="0" borderId="10" xfId="0" applyNumberFormat="1" applyFont="1" applyBorder="1" applyAlignment="1">
      <alignment horizontal="center" vertical="center" wrapText="1"/>
    </xf>
    <xf numFmtId="17" fontId="4" fillId="0" borderId="18" xfId="0" applyNumberFormat="1" applyFont="1" applyBorder="1" applyAlignment="1">
      <alignment horizontal="center" vertical="center" wrapText="1"/>
    </xf>
    <xf numFmtId="17" fontId="4" fillId="0" borderId="3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17" fontId="4" fillId="0" borderId="19" xfId="0" applyNumberFormat="1" applyFont="1" applyBorder="1" applyAlignment="1">
      <alignment horizontal="center" vertical="center" wrapText="1"/>
    </xf>
    <xf numFmtId="17" fontId="4" fillId="0" borderId="32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7" fontId="20" fillId="0" borderId="36" xfId="0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48" xfId="0" applyFont="1" applyBorder="1" applyAlignment="1">
      <alignment horizontal="center"/>
    </xf>
    <xf numFmtId="0" fontId="19" fillId="0" borderId="4" xfId="0" applyFont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17" fontId="20" fillId="0" borderId="20" xfId="0" applyNumberFormat="1" applyFont="1" applyBorder="1" applyAlignment="1">
      <alignment horizontal="center" vertical="center" wrapText="1"/>
    </xf>
    <xf numFmtId="17" fontId="20" fillId="0" borderId="37" xfId="0" applyNumberFormat="1" applyFont="1" applyBorder="1" applyAlignment="1">
      <alignment horizontal="center" vertical="center" wrapText="1"/>
    </xf>
    <xf numFmtId="17" fontId="20" fillId="0" borderId="57" xfId="0" applyNumberFormat="1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textRotation="90"/>
    </xf>
    <xf numFmtId="0" fontId="20" fillId="0" borderId="41" xfId="0" applyFont="1" applyBorder="1" applyAlignment="1">
      <alignment horizontal="center" vertical="center" textRotation="90"/>
    </xf>
    <xf numFmtId="0" fontId="20" fillId="0" borderId="26" xfId="0" applyFont="1" applyBorder="1" applyAlignment="1">
      <alignment horizontal="center" vertical="center" textRotation="90" wrapText="1"/>
    </xf>
    <xf numFmtId="0" fontId="18" fillId="0" borderId="26" xfId="0" applyFont="1" applyBorder="1" applyAlignment="1">
      <alignment horizontal="center" vertical="center" textRotation="90" wrapText="1"/>
    </xf>
    <xf numFmtId="0" fontId="20" fillId="0" borderId="41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26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wrapText="1"/>
    </xf>
    <xf numFmtId="0" fontId="13" fillId="0" borderId="61" xfId="0" applyFont="1" applyBorder="1" applyAlignment="1">
      <alignment horizontal="center"/>
    </xf>
    <xf numFmtId="0" fontId="13" fillId="0" borderId="4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 textRotation="90" wrapText="1"/>
    </xf>
    <xf numFmtId="0" fontId="13" fillId="0" borderId="19" xfId="0" applyFont="1" applyBorder="1" applyAlignment="1">
      <alignment horizontal="center" vertical="center" textRotation="90" wrapText="1"/>
    </xf>
    <xf numFmtId="0" fontId="13" fillId="0" borderId="3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0" fillId="0" borderId="42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10" fontId="8" fillId="0" borderId="59" xfId="0" applyNumberFormat="1" applyFont="1" applyBorder="1" applyAlignment="1">
      <alignment horizontal="center" vertical="center"/>
    </xf>
    <xf numFmtId="10" fontId="8" fillId="0" borderId="65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10" fillId="0" borderId="26" xfId="0" applyFont="1" applyBorder="1" applyAlignment="1">
      <alignment horizontal="center" vertical="center" textRotation="91"/>
    </xf>
    <xf numFmtId="0" fontId="10" fillId="0" borderId="23" xfId="0" applyFont="1" applyBorder="1" applyAlignment="1">
      <alignment horizontal="center" vertical="center" textRotation="91"/>
    </xf>
    <xf numFmtId="17" fontId="4" fillId="0" borderId="9" xfId="0" applyNumberFormat="1" applyFont="1" applyBorder="1" applyAlignment="1">
      <alignment horizontal="center" vertical="center" wrapText="1"/>
    </xf>
    <xf numFmtId="17" fontId="4" fillId="0" borderId="20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48" xfId="0" applyFont="1" applyBorder="1" applyAlignment="1">
      <alignment vertical="center"/>
    </xf>
    <xf numFmtId="17" fontId="12" fillId="0" borderId="9" xfId="0" applyNumberFormat="1" applyFont="1" applyBorder="1" applyAlignment="1">
      <alignment horizontal="center" vertical="center" wrapText="1"/>
    </xf>
    <xf numFmtId="17" fontId="12" fillId="0" borderId="20" xfId="0" applyNumberFormat="1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top" textRotation="90"/>
    </xf>
    <xf numFmtId="0" fontId="12" fillId="0" borderId="34" xfId="0" applyFont="1" applyBorder="1" applyAlignment="1">
      <alignment horizontal="center" vertical="top" textRotation="90"/>
    </xf>
  </cellXfs>
  <cellStyles count="5">
    <cellStyle name="Comma" xfId="1" builtinId="3"/>
    <cellStyle name="Normal" xfId="0" builtinId="0"/>
    <cellStyle name="Normal 2" xfId="3" xr:uid="{E8FACA6E-4C11-40AD-B4BF-FE89498C32A4}"/>
    <cellStyle name="Normal 2 2" xfId="4" xr:uid="{18FA5D6C-5519-4467-8475-57F0741F6B30}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3838797-38CD-4EAD-9284-C91CCD312B5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27A3D-AC15-45A3-9265-21EC42878411}">
  <sheetPr>
    <tabColor rgb="FFFFFF00"/>
    <pageSetUpPr fitToPage="1"/>
  </sheetPr>
  <dimension ref="A1:X39"/>
  <sheetViews>
    <sheetView zoomScale="85" zoomScaleNormal="85" zoomScaleSheetLayoutView="100" zoomScalePageLayoutView="80" workbookViewId="0">
      <pane xSplit="3" ySplit="5" topLeftCell="D6" activePane="bottomRight" state="frozen"/>
      <selection pane="topRight" activeCell="BF37" sqref="BF37"/>
      <selection pane="bottomLeft" activeCell="BF37" sqref="BF37"/>
      <selection pane="bottomRight" activeCell="V11" sqref="V11"/>
    </sheetView>
  </sheetViews>
  <sheetFormatPr defaultColWidth="9.140625" defaultRowHeight="12.75" x14ac:dyDescent="0.2"/>
  <cols>
    <col min="1" max="1" width="30.7109375" style="1" customWidth="1"/>
    <col min="2" max="2" width="34.7109375" style="8" customWidth="1"/>
    <col min="3" max="3" width="11.42578125" style="1" customWidth="1"/>
    <col min="4" max="4" width="13.5703125" style="1" bestFit="1" customWidth="1"/>
    <col min="5" max="6" width="14" style="1" customWidth="1"/>
    <col min="7" max="7" width="9.140625" style="1"/>
    <col min="8" max="11" width="10.28515625" style="1" bestFit="1" customWidth="1"/>
    <col min="12" max="12" width="9.5703125" style="1" bestFit="1" customWidth="1"/>
    <col min="13" max="16384" width="9.140625" style="1"/>
  </cols>
  <sheetData>
    <row r="1" spans="1:7" ht="14.25" thickBot="1" x14ac:dyDescent="0.3">
      <c r="F1" s="102" t="s">
        <v>96</v>
      </c>
    </row>
    <row r="2" spans="1:7" ht="19.5" customHeight="1" x14ac:dyDescent="0.2">
      <c r="A2" s="209" t="s">
        <v>1</v>
      </c>
      <c r="B2" s="210"/>
      <c r="C2" s="210"/>
      <c r="D2" s="210"/>
      <c r="E2" s="210"/>
      <c r="F2" s="9"/>
    </row>
    <row r="3" spans="1:7" ht="19.5" customHeight="1" thickBot="1" x14ac:dyDescent="0.25">
      <c r="A3" s="211" t="s">
        <v>197</v>
      </c>
      <c r="B3" s="212"/>
      <c r="C3" s="212"/>
      <c r="D3" s="213"/>
      <c r="E3" s="213"/>
      <c r="F3" s="214"/>
    </row>
    <row r="4" spans="1:7" ht="31.5" customHeight="1" x14ac:dyDescent="0.2">
      <c r="A4" s="10"/>
      <c r="B4" s="11"/>
      <c r="C4" s="12"/>
      <c r="D4" s="215" t="s">
        <v>97</v>
      </c>
      <c r="E4" s="205" t="s">
        <v>98</v>
      </c>
      <c r="F4" s="207" t="s">
        <v>99</v>
      </c>
    </row>
    <row r="5" spans="1:7" ht="31.5" customHeight="1" thickBot="1" x14ac:dyDescent="0.25">
      <c r="A5" s="10" t="s">
        <v>100</v>
      </c>
      <c r="B5" s="11" t="s">
        <v>4</v>
      </c>
      <c r="C5" s="12" t="s">
        <v>6</v>
      </c>
      <c r="D5" s="216"/>
      <c r="E5" s="206"/>
      <c r="F5" s="208"/>
    </row>
    <row r="6" spans="1:7" ht="18.75" customHeight="1" x14ac:dyDescent="0.2">
      <c r="A6" s="217" t="s">
        <v>102</v>
      </c>
      <c r="B6" s="13" t="s">
        <v>27</v>
      </c>
      <c r="C6" s="220" t="s">
        <v>103</v>
      </c>
      <c r="D6" s="156">
        <v>3.6960000000000006</v>
      </c>
      <c r="E6" s="157">
        <v>3.3510870000000001</v>
      </c>
      <c r="F6" s="158">
        <v>0.90667938311688312</v>
      </c>
    </row>
    <row r="7" spans="1:7" ht="18.75" customHeight="1" x14ac:dyDescent="0.2">
      <c r="A7" s="218"/>
      <c r="B7" s="14" t="s">
        <v>36</v>
      </c>
      <c r="C7" s="221"/>
      <c r="D7" s="15">
        <v>0.03</v>
      </c>
      <c r="E7" s="16">
        <v>3.5677E-2</v>
      </c>
      <c r="F7" s="17">
        <v>1.1892333333333334</v>
      </c>
    </row>
    <row r="8" spans="1:7" ht="18.75" customHeight="1" x14ac:dyDescent="0.2">
      <c r="A8" s="219"/>
      <c r="B8" s="18" t="s">
        <v>104</v>
      </c>
      <c r="C8" s="221"/>
      <c r="D8" s="15">
        <v>5.0000999999999997E-2</v>
      </c>
      <c r="E8" s="16">
        <v>4.3776000000000009E-2</v>
      </c>
      <c r="F8" s="17">
        <v>0.87550248995020119</v>
      </c>
      <c r="G8" s="2"/>
    </row>
    <row r="9" spans="1:7" ht="18.75" customHeight="1" x14ac:dyDescent="0.2">
      <c r="A9" s="228" t="s">
        <v>105</v>
      </c>
      <c r="B9" s="18" t="s">
        <v>104</v>
      </c>
      <c r="C9" s="221"/>
      <c r="D9" s="15">
        <v>0</v>
      </c>
      <c r="E9" s="16">
        <v>2.5000000000000001E-4</v>
      </c>
      <c r="F9" s="17" t="s">
        <v>190</v>
      </c>
      <c r="G9" s="2"/>
    </row>
    <row r="10" spans="1:7" ht="18.75" hidden="1" customHeight="1" x14ac:dyDescent="0.2">
      <c r="A10" s="229"/>
      <c r="B10" s="18" t="s">
        <v>106</v>
      </c>
      <c r="C10" s="221"/>
      <c r="D10" s="15">
        <v>0</v>
      </c>
      <c r="E10" s="16">
        <v>0</v>
      </c>
      <c r="F10" s="17" t="s">
        <v>190</v>
      </c>
      <c r="G10" s="2"/>
    </row>
    <row r="11" spans="1:7" ht="18.75" customHeight="1" x14ac:dyDescent="0.2">
      <c r="A11" s="223" t="s">
        <v>107</v>
      </c>
      <c r="B11" s="224"/>
      <c r="C11" s="221"/>
      <c r="D11" s="32">
        <v>3.7760010000000004</v>
      </c>
      <c r="E11" s="21">
        <v>3.4307899999999996</v>
      </c>
      <c r="F11" s="34">
        <v>0.90857761955041849</v>
      </c>
      <c r="G11" s="2"/>
    </row>
    <row r="12" spans="1:7" ht="18.75" customHeight="1" x14ac:dyDescent="0.2">
      <c r="A12" s="230" t="s">
        <v>102</v>
      </c>
      <c r="B12" s="142" t="s">
        <v>108</v>
      </c>
      <c r="C12" s="221"/>
      <c r="D12" s="15">
        <v>0</v>
      </c>
      <c r="E12" s="16">
        <v>1.3607000000000001E-2</v>
      </c>
      <c r="F12" s="17" t="s">
        <v>190</v>
      </c>
      <c r="G12" s="2"/>
    </row>
    <row r="13" spans="1:7" ht="18.75" customHeight="1" x14ac:dyDescent="0.2">
      <c r="A13" s="230"/>
      <c r="B13" s="142" t="s">
        <v>109</v>
      </c>
      <c r="C13" s="221"/>
      <c r="D13" s="15">
        <v>0</v>
      </c>
      <c r="E13" s="16">
        <v>5.2399999999999999E-3</v>
      </c>
      <c r="F13" s="17" t="s">
        <v>190</v>
      </c>
      <c r="G13" s="2"/>
    </row>
    <row r="14" spans="1:7" ht="18.75" customHeight="1" x14ac:dyDescent="0.2">
      <c r="A14" s="230"/>
      <c r="B14" s="142" t="s">
        <v>110</v>
      </c>
      <c r="C14" s="221"/>
      <c r="D14" s="15">
        <v>0</v>
      </c>
      <c r="E14" s="16">
        <v>3.5300000000000002E-4</v>
      </c>
      <c r="F14" s="17" t="s">
        <v>190</v>
      </c>
      <c r="G14" s="2"/>
    </row>
    <row r="15" spans="1:7" ht="18.75" customHeight="1" x14ac:dyDescent="0.2">
      <c r="A15" s="223" t="s">
        <v>111</v>
      </c>
      <c r="B15" s="224"/>
      <c r="C15" s="221"/>
      <c r="D15" s="20">
        <v>3.7760010000000004</v>
      </c>
      <c r="E15" s="21">
        <v>3.4499529999999998</v>
      </c>
      <c r="F15" s="22">
        <v>0.91365256524031635</v>
      </c>
      <c r="G15" s="2"/>
    </row>
    <row r="16" spans="1:7" ht="18.75" customHeight="1" x14ac:dyDescent="0.2">
      <c r="A16" s="225" t="s">
        <v>112</v>
      </c>
      <c r="B16" s="18" t="s">
        <v>27</v>
      </c>
      <c r="C16" s="221"/>
      <c r="D16" s="15">
        <v>3.6036000000000006</v>
      </c>
      <c r="E16" s="16">
        <v>3.2469039999999998</v>
      </c>
      <c r="F16" s="17">
        <v>0.90101676101676087</v>
      </c>
    </row>
    <row r="17" spans="1:7" ht="18.75" customHeight="1" x14ac:dyDescent="0.2">
      <c r="A17" s="218"/>
      <c r="B17" s="14" t="s">
        <v>36</v>
      </c>
      <c r="C17" s="221"/>
      <c r="D17" s="15">
        <v>2.9249999999999998E-2</v>
      </c>
      <c r="E17" s="16">
        <v>3.5316999999999994E-2</v>
      </c>
      <c r="F17" s="17">
        <v>1.2074188034188031</v>
      </c>
    </row>
    <row r="18" spans="1:7" ht="18.75" customHeight="1" x14ac:dyDescent="0.2">
      <c r="A18" s="219"/>
      <c r="B18" s="18" t="s">
        <v>20</v>
      </c>
      <c r="C18" s="221"/>
      <c r="D18" s="15">
        <v>4.8750974999999988E-2</v>
      </c>
      <c r="E18" s="16">
        <v>3.3306999999999996E-2</v>
      </c>
      <c r="F18" s="17">
        <v>0.68320684868353909</v>
      </c>
    </row>
    <row r="19" spans="1:7" ht="18.75" customHeight="1" x14ac:dyDescent="0.2">
      <c r="A19" s="223" t="s">
        <v>113</v>
      </c>
      <c r="B19" s="224"/>
      <c r="C19" s="221"/>
      <c r="D19" s="32">
        <v>3.6816009749999994</v>
      </c>
      <c r="E19" s="33">
        <v>3.315528</v>
      </c>
      <c r="F19" s="34">
        <v>0.90056690622209534</v>
      </c>
    </row>
    <row r="20" spans="1:7" ht="18.75" customHeight="1" x14ac:dyDescent="0.2">
      <c r="A20" s="19" t="s">
        <v>112</v>
      </c>
      <c r="B20" s="18" t="s">
        <v>108</v>
      </c>
      <c r="C20" s="221"/>
      <c r="D20" s="15">
        <v>0</v>
      </c>
      <c r="E20" s="16">
        <v>1.4564999999999998E-2</v>
      </c>
      <c r="F20" s="17" t="s">
        <v>190</v>
      </c>
    </row>
    <row r="21" spans="1:7" ht="18.75" customHeight="1" thickBot="1" x14ac:dyDescent="0.25">
      <c r="A21" s="226" t="s">
        <v>114</v>
      </c>
      <c r="B21" s="227"/>
      <c r="C21" s="222"/>
      <c r="D21" s="23">
        <v>3.6816009749999994</v>
      </c>
      <c r="E21" s="24">
        <v>3.3300930000000002</v>
      </c>
      <c r="F21" s="25">
        <v>0.90452306553944239</v>
      </c>
    </row>
    <row r="22" spans="1:7" ht="18.75" customHeight="1" x14ac:dyDescent="0.2">
      <c r="A22" s="234" t="s">
        <v>115</v>
      </c>
      <c r="B22" s="13" t="s">
        <v>27</v>
      </c>
      <c r="C22" s="231" t="s">
        <v>116</v>
      </c>
      <c r="D22" s="156">
        <v>3300.0600000000009</v>
      </c>
      <c r="E22" s="157">
        <v>2824.8407690000004</v>
      </c>
      <c r="F22" s="158">
        <v>0.85599679066441225</v>
      </c>
    </row>
    <row r="23" spans="1:7" ht="18.75" customHeight="1" x14ac:dyDescent="0.2">
      <c r="A23" s="235"/>
      <c r="B23" s="14" t="s">
        <v>36</v>
      </c>
      <c r="C23" s="232"/>
      <c r="D23" s="15">
        <v>59.08</v>
      </c>
      <c r="E23" s="16">
        <v>37.834479999999992</v>
      </c>
      <c r="F23" s="17">
        <v>0.64039404197698024</v>
      </c>
    </row>
    <row r="24" spans="1:7" ht="18.75" customHeight="1" x14ac:dyDescent="0.2">
      <c r="A24" s="235"/>
      <c r="B24" s="18" t="s">
        <v>20</v>
      </c>
      <c r="C24" s="232"/>
      <c r="D24" s="15">
        <v>300</v>
      </c>
      <c r="E24" s="16">
        <v>231.69684000000001</v>
      </c>
      <c r="F24" s="17">
        <v>0.77232279999999986</v>
      </c>
    </row>
    <row r="25" spans="1:7" ht="18.75" customHeight="1" x14ac:dyDescent="0.2">
      <c r="A25" s="229"/>
      <c r="B25" s="18" t="s">
        <v>117</v>
      </c>
      <c r="C25" s="232"/>
      <c r="D25" s="15">
        <v>0</v>
      </c>
      <c r="E25" s="16">
        <v>23.28819</v>
      </c>
      <c r="F25" s="17" t="s">
        <v>190</v>
      </c>
    </row>
    <row r="26" spans="1:7" ht="18.75" customHeight="1" x14ac:dyDescent="0.2">
      <c r="A26" s="223" t="s">
        <v>118</v>
      </c>
      <c r="B26" s="224"/>
      <c r="C26" s="232"/>
      <c r="D26" s="32">
        <v>3659.1400000000003</v>
      </c>
      <c r="E26" s="33">
        <v>3117.6602789999997</v>
      </c>
      <c r="F26" s="34">
        <v>0.85201994976961792</v>
      </c>
    </row>
    <row r="27" spans="1:7" ht="18.75" customHeight="1" x14ac:dyDescent="0.2">
      <c r="A27" s="19" t="s">
        <v>115</v>
      </c>
      <c r="B27" s="18" t="s">
        <v>109</v>
      </c>
      <c r="C27" s="232"/>
      <c r="D27" s="15">
        <v>0</v>
      </c>
      <c r="E27" s="16">
        <v>68.692008999999999</v>
      </c>
      <c r="F27" s="17" t="s">
        <v>190</v>
      </c>
    </row>
    <row r="28" spans="1:7" ht="18.75" customHeight="1" x14ac:dyDescent="0.2">
      <c r="A28" s="223" t="s">
        <v>119</v>
      </c>
      <c r="B28" s="224"/>
      <c r="C28" s="232"/>
      <c r="D28" s="20">
        <v>3659.1400000000003</v>
      </c>
      <c r="E28" s="21">
        <v>3186.352288</v>
      </c>
      <c r="F28" s="22">
        <v>0.87079266931574095</v>
      </c>
      <c r="G28" s="1">
        <f>E28/1000</f>
        <v>3.1863522880000001</v>
      </c>
    </row>
    <row r="29" spans="1:7" ht="18.75" customHeight="1" x14ac:dyDescent="0.2">
      <c r="A29" s="225" t="s">
        <v>120</v>
      </c>
      <c r="B29" s="18" t="s">
        <v>27</v>
      </c>
      <c r="C29" s="232"/>
      <c r="D29" s="15">
        <v>2640.1199999999994</v>
      </c>
      <c r="E29" s="16">
        <v>2210.3316719999998</v>
      </c>
      <c r="F29" s="17">
        <v>0.83720879050952224</v>
      </c>
    </row>
    <row r="30" spans="1:7" ht="18.75" customHeight="1" x14ac:dyDescent="0.2">
      <c r="A30" s="218"/>
      <c r="B30" s="14" t="s">
        <v>36</v>
      </c>
      <c r="C30" s="232"/>
      <c r="D30" s="15">
        <v>47.400000000000006</v>
      </c>
      <c r="E30" s="16">
        <v>32.728608999999999</v>
      </c>
      <c r="F30" s="17">
        <v>0.69047698312236272</v>
      </c>
    </row>
    <row r="31" spans="1:7" ht="18.75" customHeight="1" x14ac:dyDescent="0.2">
      <c r="A31" s="218"/>
      <c r="B31" s="18" t="s">
        <v>20</v>
      </c>
      <c r="C31" s="232"/>
      <c r="D31" s="15">
        <v>292.50000000000006</v>
      </c>
      <c r="E31" s="16">
        <v>227.46923300000003</v>
      </c>
      <c r="F31" s="17">
        <v>0.77767259145299161</v>
      </c>
      <c r="G31" s="2"/>
    </row>
    <row r="32" spans="1:7" ht="18.75" customHeight="1" x14ac:dyDescent="0.2">
      <c r="A32" s="219"/>
      <c r="B32" s="18" t="s">
        <v>117</v>
      </c>
      <c r="C32" s="232"/>
      <c r="D32" s="15">
        <v>0</v>
      </c>
      <c r="E32" s="16">
        <v>22.927106999999999</v>
      </c>
      <c r="F32" s="17" t="s">
        <v>190</v>
      </c>
      <c r="G32" s="2"/>
    </row>
    <row r="33" spans="1:7" ht="18.75" customHeight="1" x14ac:dyDescent="0.2">
      <c r="A33" s="223" t="s">
        <v>121</v>
      </c>
      <c r="B33" s="224"/>
      <c r="C33" s="232"/>
      <c r="D33" s="32">
        <v>2980.0200000000004</v>
      </c>
      <c r="E33" s="33">
        <v>2493.4566210000003</v>
      </c>
      <c r="F33" s="34">
        <v>0.83672479412889855</v>
      </c>
      <c r="G33" s="2"/>
    </row>
    <row r="34" spans="1:7" ht="18.75" customHeight="1" x14ac:dyDescent="0.2">
      <c r="A34" s="19" t="s">
        <v>120</v>
      </c>
      <c r="B34" s="18" t="s">
        <v>122</v>
      </c>
      <c r="C34" s="232"/>
      <c r="D34" s="15">
        <v>0</v>
      </c>
      <c r="E34" s="16">
        <v>125.875347</v>
      </c>
      <c r="F34" s="17" t="s">
        <v>190</v>
      </c>
      <c r="G34" s="2"/>
    </row>
    <row r="35" spans="1:7" ht="18.75" customHeight="1" thickBot="1" x14ac:dyDescent="0.25">
      <c r="A35" s="226" t="s">
        <v>123</v>
      </c>
      <c r="B35" s="227"/>
      <c r="C35" s="233"/>
      <c r="D35" s="23">
        <v>2980.0200000000004</v>
      </c>
      <c r="E35" s="24">
        <v>2619.331968</v>
      </c>
      <c r="F35" s="25">
        <v>0.87896455996939615</v>
      </c>
    </row>
    <row r="36" spans="1:7" ht="18.75" customHeight="1" thickBot="1" x14ac:dyDescent="0.25">
      <c r="A36" s="26" t="s">
        <v>124</v>
      </c>
      <c r="B36" s="27" t="s">
        <v>27</v>
      </c>
      <c r="C36" s="28" t="s">
        <v>125</v>
      </c>
      <c r="D36" s="29">
        <v>29.000000000000004</v>
      </c>
      <c r="E36" s="30">
        <v>30.905999999999999</v>
      </c>
      <c r="F36" s="31">
        <v>1.0657241379310345</v>
      </c>
    </row>
    <row r="37" spans="1:7" ht="17.25" customHeight="1" x14ac:dyDescent="0.2">
      <c r="A37" s="3"/>
      <c r="B37" s="4"/>
      <c r="C37" s="5"/>
    </row>
    <row r="38" spans="1:7" x14ac:dyDescent="0.2">
      <c r="A38" s="3"/>
      <c r="B38" s="4"/>
      <c r="C38" s="5"/>
      <c r="D38" s="6"/>
      <c r="E38" s="6"/>
      <c r="F38" s="6"/>
    </row>
    <row r="39" spans="1:7" x14ac:dyDescent="0.2">
      <c r="A39" s="3"/>
      <c r="B39" s="7"/>
      <c r="C39" s="3"/>
    </row>
  </sheetData>
  <mergeCells count="21">
    <mergeCell ref="C22:C35"/>
    <mergeCell ref="A26:B26"/>
    <mergeCell ref="A28:B28"/>
    <mergeCell ref="A33:B33"/>
    <mergeCell ref="A35:B35"/>
    <mergeCell ref="A22:A25"/>
    <mergeCell ref="A29:A32"/>
    <mergeCell ref="A6:A8"/>
    <mergeCell ref="C6:C21"/>
    <mergeCell ref="A11:B11"/>
    <mergeCell ref="A15:B15"/>
    <mergeCell ref="A16:A18"/>
    <mergeCell ref="A19:B19"/>
    <mergeCell ref="A21:B21"/>
    <mergeCell ref="A9:A10"/>
    <mergeCell ref="A12:A14"/>
    <mergeCell ref="A2:E2"/>
    <mergeCell ref="A3:F3"/>
    <mergeCell ref="D4:D5"/>
    <mergeCell ref="E4:E5"/>
    <mergeCell ref="F4:F5"/>
  </mergeCells>
  <printOptions horizontalCentered="1" verticalCentered="1"/>
  <pageMargins left="0.25" right="0.25" top="0.44" bottom="0.41" header="0.3" footer="0.3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3D3B-8C1C-480B-80C3-6A0A0E054BDD}">
  <sheetPr>
    <tabColor rgb="FF30F3F8"/>
    <pageSetUpPr fitToPage="1"/>
  </sheetPr>
  <dimension ref="A1:AZ81"/>
  <sheetViews>
    <sheetView view="pageBreakPreview" zoomScale="90" zoomScaleNormal="100" zoomScaleSheetLayoutView="9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L13" sqref="L13"/>
    </sheetView>
  </sheetViews>
  <sheetFormatPr defaultColWidth="9.140625" defaultRowHeight="15.75" x14ac:dyDescent="0.25"/>
  <cols>
    <col min="1" max="1" width="15" style="52" customWidth="1"/>
    <col min="2" max="2" width="23.5703125" style="52" customWidth="1"/>
    <col min="3" max="3" width="37.7109375" style="52" customWidth="1"/>
    <col min="4" max="4" width="13.85546875" style="52" customWidth="1"/>
    <col min="5" max="5" width="11.7109375" style="52" customWidth="1"/>
    <col min="6" max="6" width="13.140625" style="52" customWidth="1"/>
    <col min="7" max="8" width="10.28515625" style="52" customWidth="1"/>
    <col min="9" max="9" width="11.85546875" style="52" customWidth="1"/>
    <col min="10" max="16384" width="9.140625" style="52"/>
  </cols>
  <sheetData>
    <row r="1" spans="1:9" ht="16.5" customHeight="1" thickBot="1" x14ac:dyDescent="0.3">
      <c r="A1" s="112"/>
      <c r="B1" s="112"/>
      <c r="C1" s="112"/>
      <c r="D1" s="112"/>
      <c r="E1" s="112"/>
      <c r="F1" s="112"/>
      <c r="G1" s="112"/>
      <c r="I1" s="113" t="s">
        <v>0</v>
      </c>
    </row>
    <row r="2" spans="1:9" ht="16.5" customHeight="1" x14ac:dyDescent="0.25">
      <c r="A2" s="253" t="s">
        <v>1</v>
      </c>
      <c r="B2" s="254"/>
      <c r="C2" s="254"/>
      <c r="D2" s="254"/>
      <c r="E2" s="254"/>
      <c r="F2" s="254"/>
      <c r="G2" s="254"/>
      <c r="H2" s="254"/>
      <c r="I2" s="255"/>
    </row>
    <row r="3" spans="1:9" ht="16.5" customHeight="1" x14ac:dyDescent="0.25">
      <c r="A3" s="256" t="s">
        <v>198</v>
      </c>
      <c r="B3" s="257"/>
      <c r="C3" s="257"/>
      <c r="D3" s="257"/>
      <c r="E3" s="257"/>
      <c r="F3" s="257"/>
      <c r="G3" s="257"/>
      <c r="H3" s="257"/>
      <c r="I3" s="258"/>
    </row>
    <row r="4" spans="1:9" ht="16.5" customHeight="1" thickBot="1" x14ac:dyDescent="0.3">
      <c r="A4" s="259" t="s">
        <v>2</v>
      </c>
      <c r="B4" s="260"/>
      <c r="C4" s="260"/>
      <c r="D4" s="260"/>
      <c r="E4" s="260"/>
      <c r="F4" s="260"/>
      <c r="G4" s="260"/>
      <c r="H4" s="260"/>
      <c r="I4" s="261"/>
    </row>
    <row r="5" spans="1:9" ht="29.25" customHeight="1" x14ac:dyDescent="0.25">
      <c r="A5" s="114" t="s">
        <v>3</v>
      </c>
      <c r="B5" s="115" t="s">
        <v>4</v>
      </c>
      <c r="C5" s="115" t="s">
        <v>5</v>
      </c>
      <c r="D5" s="115" t="s">
        <v>6</v>
      </c>
      <c r="E5" s="236" t="s">
        <v>7</v>
      </c>
      <c r="F5" s="237"/>
      <c r="G5" s="238" t="s">
        <v>8</v>
      </c>
      <c r="H5" s="262"/>
      <c r="I5" s="263" t="s">
        <v>9</v>
      </c>
    </row>
    <row r="6" spans="1:9" ht="30" x14ac:dyDescent="0.25">
      <c r="A6" s="116"/>
      <c r="B6" s="117"/>
      <c r="C6" s="117"/>
      <c r="D6" s="117"/>
      <c r="E6" s="118" t="s">
        <v>10</v>
      </c>
      <c r="F6" s="119" t="s">
        <v>11</v>
      </c>
      <c r="G6" s="148" t="s">
        <v>10</v>
      </c>
      <c r="H6" s="149" t="s">
        <v>11</v>
      </c>
      <c r="I6" s="264"/>
    </row>
    <row r="7" spans="1:9" ht="16.5" thickBot="1" x14ac:dyDescent="0.3">
      <c r="A7" s="120"/>
      <c r="B7" s="121"/>
      <c r="C7" s="121"/>
      <c r="D7" s="121"/>
      <c r="E7" s="122" t="s">
        <v>12</v>
      </c>
      <c r="F7" s="122" t="s">
        <v>12</v>
      </c>
      <c r="G7" s="143" t="s">
        <v>13</v>
      </c>
      <c r="H7" s="123" t="s">
        <v>13</v>
      </c>
      <c r="I7" s="150" t="s">
        <v>14</v>
      </c>
    </row>
    <row r="8" spans="1:9" x14ac:dyDescent="0.25">
      <c r="A8" s="269" t="s">
        <v>15</v>
      </c>
      <c r="B8" s="270" t="s">
        <v>16</v>
      </c>
      <c r="C8" s="125" t="s">
        <v>17</v>
      </c>
      <c r="D8" s="125" t="s">
        <v>18</v>
      </c>
      <c r="E8" s="126">
        <v>53068</v>
      </c>
      <c r="F8" s="125">
        <v>13</v>
      </c>
      <c r="G8" s="144">
        <v>76772</v>
      </c>
      <c r="H8" s="127">
        <v>17</v>
      </c>
      <c r="I8" s="151">
        <f>IFERROR(G8/E8,"--")</f>
        <v>1.4466721941659757</v>
      </c>
    </row>
    <row r="9" spans="1:9" ht="15.75" hidden="1" customHeight="1" x14ac:dyDescent="0.25">
      <c r="A9" s="269"/>
      <c r="B9" s="270"/>
      <c r="C9" s="128" t="s">
        <v>19</v>
      </c>
      <c r="D9" s="128" t="s">
        <v>18</v>
      </c>
      <c r="E9" s="129">
        <v>0</v>
      </c>
      <c r="F9" s="129">
        <v>0</v>
      </c>
      <c r="G9" s="145">
        <v>0</v>
      </c>
      <c r="H9" s="130">
        <v>0</v>
      </c>
      <c r="I9" s="152" t="e">
        <f>G9/E9</f>
        <v>#DIV/0!</v>
      </c>
    </row>
    <row r="10" spans="1:9" x14ac:dyDescent="0.25">
      <c r="A10" s="243"/>
      <c r="B10" s="128" t="s">
        <v>20</v>
      </c>
      <c r="C10" s="128" t="s">
        <v>17</v>
      </c>
      <c r="D10" s="129" t="s">
        <v>18</v>
      </c>
      <c r="E10" s="128">
        <v>2400</v>
      </c>
      <c r="F10" s="128">
        <v>2</v>
      </c>
      <c r="G10" s="145">
        <v>544</v>
      </c>
      <c r="H10" s="130">
        <v>0</v>
      </c>
      <c r="I10" s="152">
        <f>IFERROR(G10/E10,"--")</f>
        <v>0.22666666666666666</v>
      </c>
    </row>
    <row r="11" spans="1:9" x14ac:dyDescent="0.25">
      <c r="A11" s="247" t="s">
        <v>21</v>
      </c>
      <c r="B11" s="247"/>
      <c r="C11" s="247"/>
      <c r="D11" s="129" t="s">
        <v>18</v>
      </c>
      <c r="E11" s="131">
        <f t="shared" ref="E11:F11" si="0">E8+E9+E10</f>
        <v>55468</v>
      </c>
      <c r="F11" s="131">
        <f t="shared" si="0"/>
        <v>15</v>
      </c>
      <c r="G11" s="146">
        <v>77316</v>
      </c>
      <c r="H11" s="132">
        <v>17</v>
      </c>
      <c r="I11" s="153">
        <f>IFERROR(G11/E11,"--")</f>
        <v>1.3938847623855195</v>
      </c>
    </row>
    <row r="12" spans="1:9" ht="17.25" hidden="1" customHeight="1" x14ac:dyDescent="0.25">
      <c r="A12" s="269" t="s">
        <v>22</v>
      </c>
      <c r="B12" s="125" t="s">
        <v>23</v>
      </c>
      <c r="C12" s="159" t="s">
        <v>24</v>
      </c>
      <c r="D12" s="128" t="s">
        <v>18</v>
      </c>
      <c r="E12" s="129">
        <v>0</v>
      </c>
      <c r="F12" s="129">
        <v>0</v>
      </c>
      <c r="G12" s="145">
        <v>0</v>
      </c>
      <c r="H12" s="130">
        <v>0</v>
      </c>
      <c r="I12" s="152" t="str">
        <f>IFERROR(G12/E12,"--")</f>
        <v>--</v>
      </c>
    </row>
    <row r="13" spans="1:9" x14ac:dyDescent="0.25">
      <c r="A13" s="269"/>
      <c r="B13" s="129" t="s">
        <v>25</v>
      </c>
      <c r="C13" s="133" t="s">
        <v>26</v>
      </c>
      <c r="D13" s="128" t="s">
        <v>18</v>
      </c>
      <c r="E13" s="128">
        <v>2400</v>
      </c>
      <c r="F13" s="128">
        <v>1</v>
      </c>
      <c r="G13" s="145">
        <v>0</v>
      </c>
      <c r="H13" s="130">
        <v>0</v>
      </c>
      <c r="I13" s="152">
        <f>IFERROR(G13/E13,"--")</f>
        <v>0</v>
      </c>
    </row>
    <row r="14" spans="1:9" x14ac:dyDescent="0.25">
      <c r="A14" s="243"/>
      <c r="B14" s="129" t="s">
        <v>27</v>
      </c>
      <c r="C14" s="133" t="s">
        <v>28</v>
      </c>
      <c r="D14" s="128" t="s">
        <v>18</v>
      </c>
      <c r="E14" s="128">
        <v>4000</v>
      </c>
      <c r="F14" s="128">
        <v>1</v>
      </c>
      <c r="G14" s="145">
        <v>0</v>
      </c>
      <c r="H14" s="130">
        <v>0</v>
      </c>
      <c r="I14" s="152">
        <f>IFERROR(G14/E14,"--")</f>
        <v>0</v>
      </c>
    </row>
    <row r="15" spans="1:9" ht="17.25" hidden="1" customHeight="1" x14ac:dyDescent="0.25">
      <c r="A15" s="124"/>
      <c r="B15" s="129" t="s">
        <v>29</v>
      </c>
      <c r="C15" s="134" t="s">
        <v>30</v>
      </c>
      <c r="D15" s="129" t="s">
        <v>18</v>
      </c>
      <c r="E15" s="129">
        <v>0</v>
      </c>
      <c r="F15" s="129">
        <v>0</v>
      </c>
      <c r="G15" s="145">
        <v>0</v>
      </c>
      <c r="H15" s="130">
        <v>0</v>
      </c>
      <c r="I15" s="152" t="str">
        <f>IFERROR(G15/E15,"--")</f>
        <v>--</v>
      </c>
    </row>
    <row r="16" spans="1:9" x14ac:dyDescent="0.25">
      <c r="A16" s="244" t="s">
        <v>31</v>
      </c>
      <c r="B16" s="245"/>
      <c r="C16" s="246"/>
      <c r="D16" s="129" t="s">
        <v>18</v>
      </c>
      <c r="E16" s="131">
        <f t="shared" ref="E16:F16" si="1">E12+E13+E14+E15</f>
        <v>6400</v>
      </c>
      <c r="F16" s="131">
        <f t="shared" si="1"/>
        <v>2</v>
      </c>
      <c r="G16" s="146">
        <v>0</v>
      </c>
      <c r="H16" s="132">
        <v>0</v>
      </c>
      <c r="I16" s="153">
        <f>IFERROR(G16/E16,"--")</f>
        <v>0</v>
      </c>
    </row>
    <row r="17" spans="1:9" ht="17.25" hidden="1" customHeight="1" x14ac:dyDescent="0.25">
      <c r="A17" s="269" t="s">
        <v>32</v>
      </c>
      <c r="B17" s="128" t="s">
        <v>27</v>
      </c>
      <c r="C17" s="129" t="s">
        <v>33</v>
      </c>
      <c r="D17" s="129" t="s">
        <v>18</v>
      </c>
      <c r="E17" s="129">
        <v>0</v>
      </c>
      <c r="F17" s="129">
        <v>0</v>
      </c>
      <c r="G17" s="145">
        <v>0</v>
      </c>
      <c r="H17" s="130">
        <v>0</v>
      </c>
      <c r="I17" s="152" t="str">
        <f>IFERROR(G17/E17,"--")</f>
        <v>--</v>
      </c>
    </row>
    <row r="18" spans="1:9" ht="17.25" hidden="1" customHeight="1" x14ac:dyDescent="0.25">
      <c r="A18" s="269"/>
      <c r="B18" s="128" t="s">
        <v>34</v>
      </c>
      <c r="C18" s="129" t="s">
        <v>35</v>
      </c>
      <c r="D18" s="129" t="s">
        <v>18</v>
      </c>
      <c r="E18" s="129">
        <v>0</v>
      </c>
      <c r="F18" s="129">
        <v>0</v>
      </c>
      <c r="G18" s="145">
        <v>0</v>
      </c>
      <c r="H18" s="130">
        <v>0</v>
      </c>
      <c r="I18" s="152" t="str">
        <f>IFERROR(G18/E18,"--")</f>
        <v>--</v>
      </c>
    </row>
    <row r="19" spans="1:9" x14ac:dyDescent="0.25">
      <c r="A19" s="269"/>
      <c r="B19" s="129" t="s">
        <v>36</v>
      </c>
      <c r="C19" s="129" t="s">
        <v>37</v>
      </c>
      <c r="D19" s="129" t="s">
        <v>18</v>
      </c>
      <c r="E19" s="128">
        <v>4900</v>
      </c>
      <c r="F19" s="128">
        <v>1</v>
      </c>
      <c r="G19" s="145">
        <v>0</v>
      </c>
      <c r="H19" s="130">
        <v>0</v>
      </c>
      <c r="I19" s="152">
        <f>IFERROR(G19/E19,"--")</f>
        <v>0</v>
      </c>
    </row>
    <row r="20" spans="1:9" ht="17.25" hidden="1" customHeight="1" x14ac:dyDescent="0.25">
      <c r="A20" s="269"/>
      <c r="B20" s="129" t="s">
        <v>36</v>
      </c>
      <c r="C20" s="129" t="s">
        <v>38</v>
      </c>
      <c r="D20" s="129" t="s">
        <v>18</v>
      </c>
      <c r="E20" s="129">
        <v>0</v>
      </c>
      <c r="F20" s="129">
        <v>0</v>
      </c>
      <c r="G20" s="145">
        <v>0</v>
      </c>
      <c r="H20" s="130">
        <v>0</v>
      </c>
      <c r="I20" s="152" t="str">
        <f>IFERROR(G20/E20,"--")</f>
        <v>--</v>
      </c>
    </row>
    <row r="21" spans="1:9" x14ac:dyDescent="0.25">
      <c r="A21" s="269"/>
      <c r="B21" s="128" t="s">
        <v>39</v>
      </c>
      <c r="C21" s="129" t="s">
        <v>40</v>
      </c>
      <c r="D21" s="129" t="s">
        <v>18</v>
      </c>
      <c r="E21" s="128">
        <v>1105</v>
      </c>
      <c r="F21" s="128">
        <v>0</v>
      </c>
      <c r="G21" s="145">
        <v>0</v>
      </c>
      <c r="H21" s="130">
        <v>0</v>
      </c>
      <c r="I21" s="152">
        <f>IFERROR(G21/E21,"--")</f>
        <v>0</v>
      </c>
    </row>
    <row r="22" spans="1:9" x14ac:dyDescent="0.25">
      <c r="A22" s="269"/>
      <c r="B22" s="128" t="s">
        <v>27</v>
      </c>
      <c r="C22" s="135" t="s">
        <v>41</v>
      </c>
      <c r="D22" s="129" t="s">
        <v>18</v>
      </c>
      <c r="E22" s="129">
        <v>0</v>
      </c>
      <c r="F22" s="129">
        <v>0</v>
      </c>
      <c r="G22" s="145">
        <v>373</v>
      </c>
      <c r="H22" s="130">
        <v>1</v>
      </c>
      <c r="I22" s="152" t="str">
        <f>IFERROR(G22/E22,"--")</f>
        <v>--</v>
      </c>
    </row>
    <row r="23" spans="1:9" ht="17.25" hidden="1" customHeight="1" x14ac:dyDescent="0.25">
      <c r="A23" s="269"/>
      <c r="B23" s="128" t="s">
        <v>39</v>
      </c>
      <c r="C23" s="129" t="s">
        <v>42</v>
      </c>
      <c r="D23" s="129" t="s">
        <v>18</v>
      </c>
      <c r="E23" s="129">
        <v>0</v>
      </c>
      <c r="F23" s="129">
        <v>0</v>
      </c>
      <c r="G23" s="145">
        <v>0</v>
      </c>
      <c r="H23" s="130">
        <v>0</v>
      </c>
      <c r="I23" s="152" t="str">
        <f>IFERROR(G23/E23,"--")</f>
        <v>--</v>
      </c>
    </row>
    <row r="24" spans="1:9" ht="17.25" hidden="1" customHeight="1" x14ac:dyDescent="0.25">
      <c r="A24" s="124"/>
      <c r="B24" s="128" t="s">
        <v>20</v>
      </c>
      <c r="C24" s="129" t="s">
        <v>43</v>
      </c>
      <c r="D24" s="129" t="s">
        <v>18</v>
      </c>
      <c r="E24" s="129">
        <v>0</v>
      </c>
      <c r="F24" s="129">
        <v>0</v>
      </c>
      <c r="G24" s="145">
        <v>0</v>
      </c>
      <c r="H24" s="130">
        <v>0</v>
      </c>
      <c r="I24" s="152" t="str">
        <f>IFERROR(G24/E24,"--")</f>
        <v>--</v>
      </c>
    </row>
    <row r="25" spans="1:9" ht="17.25" hidden="1" customHeight="1" x14ac:dyDescent="0.25">
      <c r="A25" s="124"/>
      <c r="B25" s="128" t="s">
        <v>20</v>
      </c>
      <c r="C25" s="129" t="s">
        <v>44</v>
      </c>
      <c r="D25" s="129" t="s">
        <v>18</v>
      </c>
      <c r="E25" s="129">
        <v>0</v>
      </c>
      <c r="F25" s="129">
        <v>0</v>
      </c>
      <c r="G25" s="145">
        <v>0</v>
      </c>
      <c r="H25" s="130">
        <v>0</v>
      </c>
      <c r="I25" s="152" t="str">
        <f>IFERROR(G25/E25,"--")</f>
        <v>--</v>
      </c>
    </row>
    <row r="26" spans="1:9" x14ac:dyDescent="0.25">
      <c r="A26" s="244" t="s">
        <v>45</v>
      </c>
      <c r="B26" s="245"/>
      <c r="C26" s="246"/>
      <c r="D26" s="129" t="s">
        <v>18</v>
      </c>
      <c r="E26" s="131">
        <f t="shared" ref="E26:F26" si="2">E25+E24+E23+E22+E21+E20+E19+E18+E17</f>
        <v>6005</v>
      </c>
      <c r="F26" s="131">
        <f t="shared" si="2"/>
        <v>1</v>
      </c>
      <c r="G26" s="146">
        <v>373</v>
      </c>
      <c r="H26" s="132">
        <v>1</v>
      </c>
      <c r="I26" s="153">
        <f>IFERROR(G26/E26,"--")</f>
        <v>6.2114904246461281E-2</v>
      </c>
    </row>
    <row r="27" spans="1:9" x14ac:dyDescent="0.25">
      <c r="A27" s="242" t="s">
        <v>46</v>
      </c>
      <c r="B27" s="129" t="s">
        <v>47</v>
      </c>
      <c r="C27" s="135" t="s">
        <v>48</v>
      </c>
      <c r="D27" s="129" t="s">
        <v>18</v>
      </c>
      <c r="E27" s="128">
        <f>4250</f>
        <v>4250</v>
      </c>
      <c r="F27" s="128">
        <v>1</v>
      </c>
      <c r="G27" s="145">
        <v>8456</v>
      </c>
      <c r="H27" s="130">
        <v>1</v>
      </c>
      <c r="I27" s="152">
        <f>IFERROR(G27/E27,"--")</f>
        <v>1.9896470588235293</v>
      </c>
    </row>
    <row r="28" spans="1:9" x14ac:dyDescent="0.25">
      <c r="A28" s="243"/>
      <c r="B28" s="129" t="s">
        <v>47</v>
      </c>
      <c r="C28" s="135" t="s">
        <v>49</v>
      </c>
      <c r="D28" s="129" t="s">
        <v>18</v>
      </c>
      <c r="E28" s="129">
        <v>0</v>
      </c>
      <c r="F28" s="129">
        <v>0</v>
      </c>
      <c r="G28" s="145">
        <v>0</v>
      </c>
      <c r="H28" s="130">
        <v>0</v>
      </c>
      <c r="I28" s="152" t="str">
        <f>IFERROR(G28/E28,"--")</f>
        <v>--</v>
      </c>
    </row>
    <row r="29" spans="1:9" x14ac:dyDescent="0.25">
      <c r="A29" s="243"/>
      <c r="B29" s="128" t="s">
        <v>50</v>
      </c>
      <c r="C29" s="135" t="s">
        <v>51</v>
      </c>
      <c r="D29" s="129" t="s">
        <v>18</v>
      </c>
      <c r="E29" s="129">
        <v>1500</v>
      </c>
      <c r="F29" s="129">
        <v>1</v>
      </c>
      <c r="G29" s="145">
        <v>1183</v>
      </c>
      <c r="H29" s="130">
        <v>0</v>
      </c>
      <c r="I29" s="152">
        <f>IFERROR(G29/E29,"--")</f>
        <v>0.78866666666666663</v>
      </c>
    </row>
    <row r="30" spans="1:9" x14ac:dyDescent="0.25">
      <c r="A30" s="243"/>
      <c r="B30" s="128" t="s">
        <v>50</v>
      </c>
      <c r="C30" s="135" t="s">
        <v>52</v>
      </c>
      <c r="D30" s="129" t="s">
        <v>18</v>
      </c>
      <c r="E30" s="128">
        <v>1600</v>
      </c>
      <c r="F30" s="128">
        <v>1</v>
      </c>
      <c r="G30" s="145">
        <v>0</v>
      </c>
      <c r="H30" s="130">
        <v>0</v>
      </c>
      <c r="I30" s="152">
        <f>IFERROR(G30/E30,"--")</f>
        <v>0</v>
      </c>
    </row>
    <row r="31" spans="1:9" x14ac:dyDescent="0.25">
      <c r="A31" s="243"/>
      <c r="B31" s="128" t="s">
        <v>50</v>
      </c>
      <c r="C31" s="135" t="s">
        <v>53</v>
      </c>
      <c r="D31" s="129" t="s">
        <v>18</v>
      </c>
      <c r="E31" s="128">
        <v>1350</v>
      </c>
      <c r="F31" s="128">
        <v>1</v>
      </c>
      <c r="G31" s="145">
        <v>1140</v>
      </c>
      <c r="H31" s="130">
        <v>0</v>
      </c>
      <c r="I31" s="152">
        <f>IFERROR(G31/E31,"--")</f>
        <v>0.84444444444444444</v>
      </c>
    </row>
    <row r="32" spans="1:9" ht="31.5" hidden="1" customHeight="1" x14ac:dyDescent="0.25">
      <c r="A32" s="243"/>
      <c r="B32" s="128" t="s">
        <v>50</v>
      </c>
      <c r="C32" s="129" t="s">
        <v>54</v>
      </c>
      <c r="D32" s="129" t="s">
        <v>18</v>
      </c>
      <c r="E32" s="129">
        <v>0</v>
      </c>
      <c r="F32" s="129">
        <v>0</v>
      </c>
      <c r="G32" s="145">
        <v>0</v>
      </c>
      <c r="H32" s="130">
        <v>0</v>
      </c>
      <c r="I32" s="152" t="str">
        <f>IFERROR(G32/E32,"--")</f>
        <v>--</v>
      </c>
    </row>
    <row r="33" spans="1:9" x14ac:dyDescent="0.25">
      <c r="A33" s="244" t="s">
        <v>55</v>
      </c>
      <c r="B33" s="245"/>
      <c r="C33" s="246"/>
      <c r="D33" s="129" t="s">
        <v>18</v>
      </c>
      <c r="E33" s="131">
        <f t="shared" ref="E33:F33" si="3">E32+E31+E30+E29+E28+E27</f>
        <v>8700</v>
      </c>
      <c r="F33" s="131">
        <f t="shared" si="3"/>
        <v>4</v>
      </c>
      <c r="G33" s="146">
        <v>10779</v>
      </c>
      <c r="H33" s="132">
        <v>1</v>
      </c>
      <c r="I33" s="153">
        <f>IFERROR(G33/E33,"--")</f>
        <v>1.2389655172413794</v>
      </c>
    </row>
    <row r="34" spans="1:9" ht="31.5" hidden="1" customHeight="1" x14ac:dyDescent="0.25">
      <c r="A34" s="242" t="s">
        <v>56</v>
      </c>
      <c r="B34" s="128" t="s">
        <v>57</v>
      </c>
      <c r="C34" s="129" t="s">
        <v>58</v>
      </c>
      <c r="D34" s="129" t="s">
        <v>18</v>
      </c>
      <c r="E34" s="129">
        <v>0</v>
      </c>
      <c r="F34" s="129">
        <v>0</v>
      </c>
      <c r="G34" s="145">
        <v>0</v>
      </c>
      <c r="H34" s="130">
        <v>0</v>
      </c>
      <c r="I34" s="152" t="str">
        <f>IFERROR(G34/E34,"--")</f>
        <v>--</v>
      </c>
    </row>
    <row r="35" spans="1:9" x14ac:dyDescent="0.25">
      <c r="A35" s="243"/>
      <c r="B35" s="128" t="s">
        <v>27</v>
      </c>
      <c r="C35" s="135" t="s">
        <v>59</v>
      </c>
      <c r="D35" s="129" t="s">
        <v>18</v>
      </c>
      <c r="E35" s="128">
        <v>1500</v>
      </c>
      <c r="F35" s="129">
        <v>1</v>
      </c>
      <c r="G35" s="145">
        <v>0</v>
      </c>
      <c r="H35" s="130">
        <v>0</v>
      </c>
      <c r="I35" s="152">
        <f>IFERROR(G35/E35,"--")</f>
        <v>0</v>
      </c>
    </row>
    <row r="36" spans="1:9" x14ac:dyDescent="0.25">
      <c r="A36" s="243"/>
      <c r="B36" s="128" t="s">
        <v>60</v>
      </c>
      <c r="C36" s="135" t="s">
        <v>61</v>
      </c>
      <c r="D36" s="129" t="s">
        <v>18</v>
      </c>
      <c r="E36" s="128">
        <v>3600</v>
      </c>
      <c r="F36" s="129">
        <v>1</v>
      </c>
      <c r="G36" s="145">
        <v>0</v>
      </c>
      <c r="H36" s="130">
        <v>0</v>
      </c>
      <c r="I36" s="152">
        <f>IFERROR(G36/E36,"--")</f>
        <v>0</v>
      </c>
    </row>
    <row r="37" spans="1:9" ht="15.75" customHeight="1" x14ac:dyDescent="0.25">
      <c r="A37" s="243"/>
      <c r="B37" s="129" t="s">
        <v>62</v>
      </c>
      <c r="C37" s="135" t="s">
        <v>63</v>
      </c>
      <c r="D37" s="129" t="s">
        <v>18</v>
      </c>
      <c r="E37" s="129">
        <v>5500</v>
      </c>
      <c r="F37" s="129">
        <v>1</v>
      </c>
      <c r="G37" s="145">
        <v>3012</v>
      </c>
      <c r="H37" s="130">
        <v>0</v>
      </c>
      <c r="I37" s="152">
        <f>IFERROR(G37/E37,"--")</f>
        <v>0.54763636363636359</v>
      </c>
    </row>
    <row r="38" spans="1:9" x14ac:dyDescent="0.25">
      <c r="A38" s="243"/>
      <c r="B38" s="128" t="s">
        <v>50</v>
      </c>
      <c r="C38" s="135" t="s">
        <v>64</v>
      </c>
      <c r="D38" s="129" t="s">
        <v>18</v>
      </c>
      <c r="E38" s="129">
        <v>0</v>
      </c>
      <c r="F38" s="129">
        <v>0</v>
      </c>
      <c r="G38" s="145">
        <v>3747</v>
      </c>
      <c r="H38" s="130">
        <v>1</v>
      </c>
      <c r="I38" s="152" t="str">
        <f>IFERROR(G38/E38,"--")</f>
        <v>--</v>
      </c>
    </row>
    <row r="39" spans="1:9" ht="30" hidden="1" customHeight="1" x14ac:dyDescent="0.25">
      <c r="A39" s="243"/>
      <c r="B39" s="128" t="s">
        <v>20</v>
      </c>
      <c r="C39" s="129" t="s">
        <v>65</v>
      </c>
      <c r="D39" s="129" t="s">
        <v>18</v>
      </c>
      <c r="E39" s="129">
        <v>0</v>
      </c>
      <c r="F39" s="129">
        <v>0</v>
      </c>
      <c r="G39" s="145">
        <v>0</v>
      </c>
      <c r="H39" s="130">
        <v>0</v>
      </c>
      <c r="I39" s="152" t="str">
        <f>IFERROR(G39/E39,"--")</f>
        <v>--</v>
      </c>
    </row>
    <row r="40" spans="1:9" x14ac:dyDescent="0.25">
      <c r="A40" s="244" t="s">
        <v>66</v>
      </c>
      <c r="B40" s="245"/>
      <c r="C40" s="246"/>
      <c r="D40" s="129" t="s">
        <v>18</v>
      </c>
      <c r="E40" s="131">
        <f t="shared" ref="E40:F40" si="4">E34+E35+E36+E37+E38+E39</f>
        <v>10600</v>
      </c>
      <c r="F40" s="131">
        <f t="shared" si="4"/>
        <v>3</v>
      </c>
      <c r="G40" s="146">
        <v>6759</v>
      </c>
      <c r="H40" s="132">
        <v>1</v>
      </c>
      <c r="I40" s="153">
        <f>IFERROR(G40/E40,"--")</f>
        <v>0.63764150943396225</v>
      </c>
    </row>
    <row r="41" spans="1:9" x14ac:dyDescent="0.25">
      <c r="A41" s="251" t="s">
        <v>67</v>
      </c>
      <c r="B41" s="128" t="s">
        <v>25</v>
      </c>
      <c r="C41" s="135" t="s">
        <v>68</v>
      </c>
      <c r="D41" s="129" t="s">
        <v>18</v>
      </c>
      <c r="E41" s="128">
        <v>4100</v>
      </c>
      <c r="F41" s="129">
        <v>1</v>
      </c>
      <c r="G41" s="145">
        <v>0</v>
      </c>
      <c r="H41" s="130">
        <v>0</v>
      </c>
      <c r="I41" s="152">
        <f>IFERROR(G41/E41,"--")</f>
        <v>0</v>
      </c>
    </row>
    <row r="42" spans="1:9" ht="31.5" hidden="1" customHeight="1" x14ac:dyDescent="0.25">
      <c r="A42" s="252"/>
      <c r="B42" s="128" t="s">
        <v>25</v>
      </c>
      <c r="C42" s="129" t="s">
        <v>69</v>
      </c>
      <c r="D42" s="129" t="s">
        <v>18</v>
      </c>
      <c r="E42" s="129">
        <v>0</v>
      </c>
      <c r="F42" s="129">
        <v>0</v>
      </c>
      <c r="G42" s="145">
        <v>0</v>
      </c>
      <c r="H42" s="130">
        <v>0</v>
      </c>
      <c r="I42" s="152" t="str">
        <f>IFERROR(G42/E42,"--")</f>
        <v>--</v>
      </c>
    </row>
    <row r="43" spans="1:9" ht="31.5" hidden="1" customHeight="1" x14ac:dyDescent="0.25">
      <c r="A43" s="252"/>
      <c r="B43" s="134" t="s">
        <v>20</v>
      </c>
      <c r="C43" s="133" t="s">
        <v>70</v>
      </c>
      <c r="D43" s="129" t="s">
        <v>18</v>
      </c>
      <c r="E43" s="129">
        <v>0</v>
      </c>
      <c r="F43" s="129">
        <v>0</v>
      </c>
      <c r="G43" s="145">
        <v>0</v>
      </c>
      <c r="H43" s="130">
        <v>0</v>
      </c>
      <c r="I43" s="152" t="str">
        <f>IFERROR(G43/E43,"--")</f>
        <v>--</v>
      </c>
    </row>
    <row r="44" spans="1:9" ht="31.5" hidden="1" customHeight="1" x14ac:dyDescent="0.25">
      <c r="A44" s="252"/>
      <c r="B44" s="134" t="s">
        <v>20</v>
      </c>
      <c r="C44" s="133" t="s">
        <v>71</v>
      </c>
      <c r="D44" s="129" t="s">
        <v>18</v>
      </c>
      <c r="E44" s="129">
        <v>0</v>
      </c>
      <c r="F44" s="129">
        <v>0</v>
      </c>
      <c r="G44" s="145">
        <v>0</v>
      </c>
      <c r="H44" s="130">
        <v>0</v>
      </c>
      <c r="I44" s="152" t="str">
        <f>IFERROR(G44/E44,"--")</f>
        <v>--</v>
      </c>
    </row>
    <row r="45" spans="1:9" x14ac:dyDescent="0.25">
      <c r="A45" s="244" t="s">
        <v>72</v>
      </c>
      <c r="B45" s="245"/>
      <c r="C45" s="246"/>
      <c r="D45" s="129" t="s">
        <v>18</v>
      </c>
      <c r="E45" s="131">
        <f t="shared" ref="E45:F45" si="5">E41+E42+E43+E44</f>
        <v>4100</v>
      </c>
      <c r="F45" s="131">
        <f t="shared" si="5"/>
        <v>1</v>
      </c>
      <c r="G45" s="146">
        <v>0</v>
      </c>
      <c r="H45" s="132">
        <v>0</v>
      </c>
      <c r="I45" s="153">
        <f>IFERROR(G45/E45,"--")</f>
        <v>0</v>
      </c>
    </row>
    <row r="46" spans="1:9" ht="15.75" hidden="1" customHeight="1" x14ac:dyDescent="0.25">
      <c r="A46" s="267" t="s">
        <v>73</v>
      </c>
      <c r="B46" s="128" t="s">
        <v>60</v>
      </c>
      <c r="C46" s="133" t="s">
        <v>74</v>
      </c>
      <c r="D46" s="129" t="s">
        <v>18</v>
      </c>
      <c r="E46" s="129">
        <v>0</v>
      </c>
      <c r="F46" s="129">
        <v>0</v>
      </c>
      <c r="G46" s="145">
        <v>0</v>
      </c>
      <c r="H46" s="130">
        <v>0</v>
      </c>
      <c r="I46" s="152" t="str">
        <f>IFERROR(G46/E46,"--")</f>
        <v>--</v>
      </c>
    </row>
    <row r="47" spans="1:9" ht="15.75" hidden="1" customHeight="1" x14ac:dyDescent="0.25">
      <c r="A47" s="268"/>
      <c r="B47" s="128" t="s">
        <v>60</v>
      </c>
      <c r="C47" s="133" t="s">
        <v>75</v>
      </c>
      <c r="D47" s="129" t="s">
        <v>18</v>
      </c>
      <c r="E47" s="129">
        <v>0</v>
      </c>
      <c r="F47" s="129">
        <v>0</v>
      </c>
      <c r="G47" s="145">
        <v>0</v>
      </c>
      <c r="H47" s="130">
        <v>0</v>
      </c>
      <c r="I47" s="152" t="str">
        <f>IFERROR(G47/E47,"--")</f>
        <v>--</v>
      </c>
    </row>
    <row r="48" spans="1:9" ht="15.75" hidden="1" customHeight="1" x14ac:dyDescent="0.25">
      <c r="A48" s="244" t="s">
        <v>76</v>
      </c>
      <c r="B48" s="245"/>
      <c r="C48" s="246"/>
      <c r="D48" s="129" t="s">
        <v>18</v>
      </c>
      <c r="E48" s="131">
        <f t="shared" ref="E48:F48" si="6">E47+E46</f>
        <v>0</v>
      </c>
      <c r="F48" s="131">
        <f t="shared" si="6"/>
        <v>0</v>
      </c>
      <c r="G48" s="145">
        <v>0</v>
      </c>
      <c r="H48" s="130">
        <v>0</v>
      </c>
      <c r="I48" s="152" t="str">
        <f>IFERROR(G48/E48,"--")</f>
        <v>--</v>
      </c>
    </row>
    <row r="49" spans="1:9" x14ac:dyDescent="0.25">
      <c r="A49" s="251" t="s">
        <v>77</v>
      </c>
      <c r="B49" s="128" t="s">
        <v>25</v>
      </c>
      <c r="C49" s="136" t="s">
        <v>78</v>
      </c>
      <c r="D49" s="129" t="s">
        <v>18</v>
      </c>
      <c r="E49" s="128">
        <v>1740</v>
      </c>
      <c r="F49" s="129">
        <v>0</v>
      </c>
      <c r="G49" s="145">
        <v>0</v>
      </c>
      <c r="H49" s="130">
        <v>0</v>
      </c>
      <c r="I49" s="152">
        <f>IFERROR(G49/E49,"--")</f>
        <v>0</v>
      </c>
    </row>
    <row r="50" spans="1:9" x14ac:dyDescent="0.25">
      <c r="A50" s="252"/>
      <c r="B50" s="128" t="s">
        <v>25</v>
      </c>
      <c r="C50" s="136" t="s">
        <v>79</v>
      </c>
      <c r="D50" s="129" t="s">
        <v>18</v>
      </c>
      <c r="E50" s="128">
        <v>1320</v>
      </c>
      <c r="F50" s="129">
        <v>1</v>
      </c>
      <c r="G50" s="145">
        <v>1051</v>
      </c>
      <c r="H50" s="130">
        <v>1</v>
      </c>
      <c r="I50" s="152">
        <f>IFERROR(G50/E50,"--")</f>
        <v>0.79621212121212126</v>
      </c>
    </row>
    <row r="51" spans="1:9" x14ac:dyDescent="0.25">
      <c r="A51" s="244" t="s">
        <v>80</v>
      </c>
      <c r="B51" s="245"/>
      <c r="C51" s="246"/>
      <c r="D51" s="129" t="s">
        <v>18</v>
      </c>
      <c r="E51" s="131">
        <f t="shared" ref="E51:F51" si="7">E49+E50</f>
        <v>3060</v>
      </c>
      <c r="F51" s="131">
        <f t="shared" si="7"/>
        <v>1</v>
      </c>
      <c r="G51" s="146">
        <v>1051</v>
      </c>
      <c r="H51" s="132">
        <v>1</v>
      </c>
      <c r="I51" s="153">
        <f>IFERROR(G51/E51,"--")</f>
        <v>0.3434640522875817</v>
      </c>
    </row>
    <row r="52" spans="1:9" ht="51.75" hidden="1" customHeight="1" x14ac:dyDescent="0.25">
      <c r="A52" s="137" t="s">
        <v>81</v>
      </c>
      <c r="B52" s="128" t="s">
        <v>25</v>
      </c>
      <c r="C52" s="133" t="s">
        <v>82</v>
      </c>
      <c r="D52" s="129" t="s">
        <v>18</v>
      </c>
      <c r="E52" s="129">
        <v>0</v>
      </c>
      <c r="F52" s="129">
        <v>0</v>
      </c>
      <c r="G52" s="145">
        <v>0</v>
      </c>
      <c r="H52" s="130">
        <v>0</v>
      </c>
      <c r="I52" s="152" t="str">
        <f>IFERROR(G52/E52,"--")</f>
        <v>--</v>
      </c>
    </row>
    <row r="53" spans="1:9" ht="15.75" customHeight="1" x14ac:dyDescent="0.25">
      <c r="A53" s="244" t="s">
        <v>83</v>
      </c>
      <c r="B53" s="245"/>
      <c r="C53" s="246"/>
      <c r="D53" s="129" t="s">
        <v>18</v>
      </c>
      <c r="E53" s="131">
        <f t="shared" ref="E53:F53" si="8">E52</f>
        <v>0</v>
      </c>
      <c r="F53" s="131">
        <f t="shared" si="8"/>
        <v>0</v>
      </c>
      <c r="G53" s="145">
        <v>0</v>
      </c>
      <c r="H53" s="130">
        <v>0</v>
      </c>
      <c r="I53" s="152" t="str">
        <f>IFERROR(G53/E53,"--")</f>
        <v>--</v>
      </c>
    </row>
    <row r="54" spans="1:9" ht="18.75" customHeight="1" x14ac:dyDescent="0.25">
      <c r="A54" s="265" t="s">
        <v>84</v>
      </c>
      <c r="B54" s="129" t="s">
        <v>85</v>
      </c>
      <c r="C54" s="129" t="s">
        <v>86</v>
      </c>
      <c r="D54" s="129" t="s">
        <v>18</v>
      </c>
      <c r="E54" s="129">
        <v>0</v>
      </c>
      <c r="F54" s="129">
        <v>0</v>
      </c>
      <c r="G54" s="145">
        <v>72</v>
      </c>
      <c r="H54" s="130">
        <v>0</v>
      </c>
      <c r="I54" s="152" t="str">
        <f>IFERROR(G54/E54,"--")</f>
        <v>--</v>
      </c>
    </row>
    <row r="55" spans="1:9" ht="18.75" customHeight="1" x14ac:dyDescent="0.25">
      <c r="A55" s="266"/>
      <c r="B55" s="134" t="s">
        <v>60</v>
      </c>
      <c r="C55" s="133" t="s">
        <v>87</v>
      </c>
      <c r="D55" s="129" t="s">
        <v>18</v>
      </c>
      <c r="E55" s="129">
        <v>0</v>
      </c>
      <c r="F55" s="129">
        <v>0</v>
      </c>
      <c r="G55" s="145">
        <v>0</v>
      </c>
      <c r="H55" s="130">
        <v>0</v>
      </c>
      <c r="I55" s="152" t="str">
        <f>IFERROR(G55/E55,"--")</f>
        <v>--</v>
      </c>
    </row>
    <row r="56" spans="1:9" ht="15.75" customHeight="1" x14ac:dyDescent="0.25">
      <c r="A56" s="244" t="s">
        <v>88</v>
      </c>
      <c r="B56" s="245"/>
      <c r="C56" s="246"/>
      <c r="D56" s="129" t="s">
        <v>18</v>
      </c>
      <c r="E56" s="131">
        <f t="shared" ref="E56:F56" si="9">E54+E55</f>
        <v>0</v>
      </c>
      <c r="F56" s="131">
        <f t="shared" si="9"/>
        <v>0</v>
      </c>
      <c r="G56" s="145">
        <v>72</v>
      </c>
      <c r="H56" s="130">
        <v>0</v>
      </c>
      <c r="I56" s="152" t="str">
        <f>IFERROR(G56/E56,"--")</f>
        <v>--</v>
      </c>
    </row>
    <row r="57" spans="1:9" ht="17.25" customHeight="1" x14ac:dyDescent="0.25">
      <c r="A57" s="203" t="s">
        <v>89</v>
      </c>
      <c r="B57" s="128" t="s">
        <v>20</v>
      </c>
      <c r="C57" s="128" t="s">
        <v>90</v>
      </c>
      <c r="D57" s="129" t="s">
        <v>18</v>
      </c>
      <c r="E57" s="129">
        <v>0</v>
      </c>
      <c r="F57" s="129">
        <v>0</v>
      </c>
      <c r="G57" s="145">
        <v>1071</v>
      </c>
      <c r="H57" s="130">
        <v>1</v>
      </c>
      <c r="I57" s="152" t="str">
        <f>IFERROR(G57/E57,"--")</f>
        <v>--</v>
      </c>
    </row>
    <row r="58" spans="1:9" ht="15.75" customHeight="1" x14ac:dyDescent="0.25">
      <c r="A58" s="244" t="s">
        <v>91</v>
      </c>
      <c r="B58" s="245"/>
      <c r="C58" s="246"/>
      <c r="D58" s="129" t="s">
        <v>18</v>
      </c>
      <c r="E58" s="131">
        <f t="shared" ref="E58:F58" si="10">E57</f>
        <v>0</v>
      </c>
      <c r="F58" s="131">
        <f t="shared" si="10"/>
        <v>0</v>
      </c>
      <c r="G58" s="146">
        <v>1071</v>
      </c>
      <c r="H58" s="132">
        <v>1</v>
      </c>
      <c r="I58" s="152" t="str">
        <f>IFERROR(G58/E58,"--")</f>
        <v>--</v>
      </c>
    </row>
    <row r="59" spans="1:9" ht="17.25" hidden="1" customHeight="1" x14ac:dyDescent="0.25">
      <c r="A59" s="244" t="s">
        <v>92</v>
      </c>
      <c r="B59" s="245" t="s">
        <v>93</v>
      </c>
      <c r="C59" s="246" t="s">
        <v>94</v>
      </c>
      <c r="D59" s="129" t="s">
        <v>18</v>
      </c>
      <c r="E59" s="129">
        <v>0</v>
      </c>
      <c r="F59" s="129">
        <v>0</v>
      </c>
      <c r="G59" s="145">
        <v>0</v>
      </c>
      <c r="H59" s="130">
        <v>0</v>
      </c>
      <c r="I59" s="152" t="str">
        <f>IFERROR(G59/E59,"--")</f>
        <v>--</v>
      </c>
    </row>
    <row r="60" spans="1:9" ht="15.75" hidden="1" customHeight="1" thickBot="1" x14ac:dyDescent="0.3">
      <c r="A60" s="248" t="s">
        <v>95</v>
      </c>
      <c r="B60" s="249"/>
      <c r="C60" s="250"/>
      <c r="D60" s="129" t="s">
        <v>18</v>
      </c>
      <c r="E60" s="131">
        <f t="shared" ref="E60:F60" si="11">E59</f>
        <v>0</v>
      </c>
      <c r="F60" s="131">
        <f t="shared" si="11"/>
        <v>0</v>
      </c>
      <c r="G60" s="145">
        <v>0</v>
      </c>
      <c r="H60" s="130">
        <v>0</v>
      </c>
      <c r="I60" s="152" t="str">
        <f>IFERROR(G60/E60,"--")</f>
        <v>--</v>
      </c>
    </row>
    <row r="61" spans="1:9" ht="16.5" thickBot="1" x14ac:dyDescent="0.3">
      <c r="A61" s="239"/>
      <c r="B61" s="240"/>
      <c r="C61" s="241"/>
      <c r="D61" s="121" t="s">
        <v>18</v>
      </c>
      <c r="E61" s="138">
        <f t="shared" ref="E61:F61" si="12">E60+E58+E56+E51+E48+E45+E40+E33+E26+E16+E11+E53</f>
        <v>94333</v>
      </c>
      <c r="F61" s="138">
        <f t="shared" si="12"/>
        <v>27</v>
      </c>
      <c r="G61" s="147">
        <v>97421</v>
      </c>
      <c r="H61" s="139">
        <v>22</v>
      </c>
      <c r="I61" s="154">
        <f>IFERROR(G61/E61,"--")</f>
        <v>1.0327350980038799</v>
      </c>
    </row>
    <row r="62" spans="1:9" x14ac:dyDescent="0.25">
      <c r="A62" s="74"/>
      <c r="B62" s="74"/>
      <c r="C62" s="74"/>
      <c r="D62" s="55"/>
      <c r="E62" s="74"/>
      <c r="F62" s="74"/>
    </row>
    <row r="63" spans="1:9" x14ac:dyDescent="0.25">
      <c r="A63" s="74"/>
      <c r="B63" s="74"/>
      <c r="C63" s="74"/>
      <c r="D63" s="55"/>
      <c r="E63" s="74"/>
      <c r="F63" s="74"/>
    </row>
    <row r="64" spans="1:9" x14ac:dyDescent="0.25">
      <c r="A64" s="74"/>
      <c r="B64" s="74"/>
      <c r="C64" s="74"/>
      <c r="D64" s="55"/>
      <c r="E64" s="74"/>
      <c r="F64" s="74"/>
    </row>
    <row r="65" spans="1:5" x14ac:dyDescent="0.25">
      <c r="A65" s="74"/>
      <c r="B65" s="74"/>
      <c r="C65" s="74"/>
      <c r="D65" s="55"/>
      <c r="E65" s="74"/>
    </row>
    <row r="66" spans="1:5" x14ac:dyDescent="0.25">
      <c r="A66" s="74"/>
      <c r="B66" s="74"/>
      <c r="C66" s="74"/>
      <c r="D66" s="55"/>
      <c r="E66" s="74"/>
    </row>
    <row r="67" spans="1:5" x14ac:dyDescent="0.25">
      <c r="A67" s="74"/>
      <c r="B67" s="74"/>
      <c r="C67" s="74"/>
      <c r="D67" s="55"/>
      <c r="E67" s="74"/>
    </row>
    <row r="68" spans="1:5" x14ac:dyDescent="0.25">
      <c r="A68" s="74"/>
      <c r="B68" s="74"/>
      <c r="C68" s="74"/>
      <c r="D68" s="55"/>
      <c r="E68" s="74"/>
    </row>
    <row r="69" spans="1:5" x14ac:dyDescent="0.25">
      <c r="A69" s="74"/>
      <c r="B69" s="74"/>
      <c r="C69" s="74"/>
      <c r="D69" s="55"/>
      <c r="E69" s="74"/>
    </row>
    <row r="70" spans="1:5" x14ac:dyDescent="0.25">
      <c r="A70" s="74"/>
      <c r="B70" s="74"/>
      <c r="C70" s="74"/>
      <c r="D70" s="55"/>
      <c r="E70" s="74"/>
    </row>
    <row r="71" spans="1:5" x14ac:dyDescent="0.25">
      <c r="A71" s="74"/>
      <c r="B71" s="74"/>
      <c r="C71" s="74"/>
      <c r="D71" s="55"/>
      <c r="E71" s="74"/>
    </row>
    <row r="72" spans="1:5" x14ac:dyDescent="0.25">
      <c r="A72" s="74"/>
      <c r="B72" s="74"/>
      <c r="C72" s="74"/>
      <c r="D72" s="55"/>
      <c r="E72" s="74"/>
    </row>
    <row r="73" spans="1:5" x14ac:dyDescent="0.25">
      <c r="A73" s="74"/>
      <c r="B73" s="74"/>
      <c r="C73" s="74"/>
      <c r="D73" s="55"/>
      <c r="E73" s="74"/>
    </row>
    <row r="74" spans="1:5" x14ac:dyDescent="0.25">
      <c r="A74" s="74"/>
      <c r="B74" s="74"/>
      <c r="C74" s="74"/>
      <c r="D74" s="55"/>
      <c r="E74" s="74"/>
    </row>
    <row r="75" spans="1:5" x14ac:dyDescent="0.25">
      <c r="A75" s="74"/>
      <c r="B75" s="74"/>
      <c r="C75" s="74"/>
      <c r="D75" s="55"/>
      <c r="E75" s="74"/>
    </row>
    <row r="76" spans="1:5" x14ac:dyDescent="0.25">
      <c r="A76" s="74"/>
      <c r="B76" s="74"/>
      <c r="C76" s="74"/>
      <c r="D76" s="55"/>
      <c r="E76" s="74"/>
    </row>
    <row r="77" spans="1:5" x14ac:dyDescent="0.25">
      <c r="A77" s="74"/>
      <c r="B77" s="74"/>
      <c r="C77" s="74"/>
      <c r="D77" s="55"/>
      <c r="E77" s="74"/>
    </row>
    <row r="78" spans="1:5" x14ac:dyDescent="0.25">
      <c r="A78" s="74"/>
      <c r="B78" s="74"/>
      <c r="C78" s="74"/>
      <c r="D78" s="55"/>
      <c r="E78" s="74"/>
    </row>
    <row r="79" spans="1:5" x14ac:dyDescent="0.25">
      <c r="A79" s="74"/>
      <c r="B79" s="74"/>
      <c r="C79" s="74"/>
      <c r="D79" s="55"/>
      <c r="E79" s="74"/>
    </row>
    <row r="80" spans="1:5" x14ac:dyDescent="0.25">
      <c r="A80" s="74"/>
      <c r="B80" s="74"/>
      <c r="C80" s="74"/>
      <c r="D80" s="55"/>
      <c r="E80" s="74"/>
    </row>
    <row r="81" spans="1:5" x14ac:dyDescent="0.25">
      <c r="A81" s="74"/>
      <c r="B81" s="74"/>
      <c r="C81" s="74"/>
      <c r="D81" s="55"/>
      <c r="E81" s="74"/>
    </row>
  </sheetData>
  <autoFilter ref="A5:E50" xr:uid="{00000000-0001-0000-0300-000000000000}"/>
  <mergeCells count="30">
    <mergeCell ref="A54:A55"/>
    <mergeCell ref="A46:A47"/>
    <mergeCell ref="A12:A14"/>
    <mergeCell ref="A17:A23"/>
    <mergeCell ref="A34:A39"/>
    <mergeCell ref="A26:C26"/>
    <mergeCell ref="A33:C33"/>
    <mergeCell ref="A8:A10"/>
    <mergeCell ref="B8:B9"/>
    <mergeCell ref="A2:I2"/>
    <mergeCell ref="A3:I3"/>
    <mergeCell ref="A4:I4"/>
    <mergeCell ref="G5:H5"/>
    <mergeCell ref="I5:I6"/>
    <mergeCell ref="A61:C61"/>
    <mergeCell ref="A27:A32"/>
    <mergeCell ref="A16:C16"/>
    <mergeCell ref="A11:C11"/>
    <mergeCell ref="A60:C60"/>
    <mergeCell ref="A59:C59"/>
    <mergeCell ref="A48:C48"/>
    <mergeCell ref="A49:A50"/>
    <mergeCell ref="A45:C45"/>
    <mergeCell ref="A40:C40"/>
    <mergeCell ref="A41:A44"/>
    <mergeCell ref="A58:C58"/>
    <mergeCell ref="A56:C56"/>
    <mergeCell ref="A51:C51"/>
    <mergeCell ref="A53:C53"/>
    <mergeCell ref="E5:F5"/>
  </mergeCells>
  <pageMargins left="0.23622047244094491" right="0.23622047244094491" top="0.8" bottom="0.59" header="0.31496062992125984" footer="0.31496062992125984"/>
  <pageSetup scale="9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2D10-8CFB-4359-8A3B-D5C1B7C20AE2}">
  <sheetPr>
    <tabColor rgb="FF71EEFB"/>
    <pageSetUpPr fitToPage="1"/>
  </sheetPr>
  <dimension ref="A1:Z15"/>
  <sheetViews>
    <sheetView view="pageBreakPreview" zoomScaleNormal="85" zoomScaleSheetLayoutView="100" workbookViewId="0">
      <pane xSplit="6" ySplit="4" topLeftCell="G5" activePane="bottomRight" state="frozen"/>
      <selection pane="topRight" activeCell="BF37" sqref="BF37"/>
      <selection pane="bottomLeft" activeCell="BF37" sqref="BF37"/>
      <selection pane="bottomRight" activeCell="E15" sqref="E15"/>
    </sheetView>
  </sheetViews>
  <sheetFormatPr defaultColWidth="9.140625" defaultRowHeight="15.75" x14ac:dyDescent="0.25"/>
  <cols>
    <col min="1" max="1" width="8.5703125" style="80" customWidth="1"/>
    <col min="2" max="2" width="12.5703125" style="80" customWidth="1"/>
    <col min="3" max="3" width="28" style="80" customWidth="1"/>
    <col min="4" max="4" width="12.5703125" style="80" hidden="1" customWidth="1"/>
    <col min="5" max="9" width="12.5703125" style="80" customWidth="1"/>
    <col min="10" max="10" width="9.140625" style="80" hidden="1" customWidth="1"/>
    <col min="11" max="16384" width="9.140625" style="80"/>
  </cols>
  <sheetData>
    <row r="1" spans="1:12" s="52" customFormat="1" ht="16.5" customHeight="1" thickBot="1" x14ac:dyDescent="0.3">
      <c r="I1" s="73" t="s">
        <v>126</v>
      </c>
    </row>
    <row r="2" spans="1:12" s="52" customFormat="1" ht="16.5" customHeight="1" x14ac:dyDescent="0.25">
      <c r="A2" s="291" t="s">
        <v>1</v>
      </c>
      <c r="B2" s="292"/>
      <c r="C2" s="292"/>
      <c r="D2" s="292"/>
      <c r="E2" s="292"/>
      <c r="F2" s="292"/>
      <c r="G2" s="292"/>
      <c r="H2" s="292"/>
      <c r="I2" s="293"/>
      <c r="J2" s="79"/>
    </row>
    <row r="3" spans="1:12" s="52" customFormat="1" ht="16.5" customHeight="1" x14ac:dyDescent="0.25">
      <c r="A3" s="271" t="s">
        <v>198</v>
      </c>
      <c r="B3" s="272"/>
      <c r="C3" s="272"/>
      <c r="D3" s="272"/>
      <c r="E3" s="272"/>
      <c r="F3" s="272"/>
      <c r="G3" s="272"/>
      <c r="H3" s="272"/>
      <c r="I3" s="273"/>
      <c r="J3" s="78"/>
    </row>
    <row r="4" spans="1:12" s="52" customFormat="1" ht="16.5" customHeight="1" thickBot="1" x14ac:dyDescent="0.3">
      <c r="A4" s="274" t="s">
        <v>127</v>
      </c>
      <c r="B4" s="275"/>
      <c r="C4" s="275"/>
      <c r="D4" s="275"/>
      <c r="E4" s="275"/>
      <c r="F4" s="275"/>
      <c r="G4" s="275"/>
      <c r="H4" s="275"/>
      <c r="I4" s="276"/>
      <c r="J4" s="77"/>
    </row>
    <row r="5" spans="1:12" ht="29.25" customHeight="1" x14ac:dyDescent="0.25">
      <c r="A5" s="95" t="s">
        <v>3</v>
      </c>
      <c r="B5" s="96" t="s">
        <v>4</v>
      </c>
      <c r="C5" s="96" t="s">
        <v>5</v>
      </c>
      <c r="D5" s="76" t="s">
        <v>6</v>
      </c>
      <c r="E5" s="289" t="s">
        <v>7</v>
      </c>
      <c r="F5" s="290"/>
      <c r="G5" s="238" t="s">
        <v>8</v>
      </c>
      <c r="H5" s="262"/>
      <c r="I5" s="263" t="s">
        <v>9</v>
      </c>
    </row>
    <row r="6" spans="1:12" ht="29.25" customHeight="1" x14ac:dyDescent="0.25">
      <c r="A6" s="92"/>
      <c r="B6" s="65"/>
      <c r="C6" s="65"/>
      <c r="D6" s="93"/>
      <c r="E6" s="92" t="s">
        <v>10</v>
      </c>
      <c r="F6" s="91" t="s">
        <v>11</v>
      </c>
      <c r="G6" s="155" t="s">
        <v>10</v>
      </c>
      <c r="H6" s="94" t="s">
        <v>11</v>
      </c>
      <c r="I6" s="264"/>
      <c r="J6" s="204" t="s">
        <v>10</v>
      </c>
    </row>
    <row r="7" spans="1:12" ht="29.25" customHeight="1" thickBot="1" x14ac:dyDescent="0.3">
      <c r="A7" s="174"/>
      <c r="B7" s="175"/>
      <c r="C7" s="175"/>
      <c r="D7" s="176"/>
      <c r="E7" s="174"/>
      <c r="F7" s="177"/>
      <c r="G7" s="178" t="s">
        <v>13</v>
      </c>
      <c r="H7" s="179" t="s">
        <v>13</v>
      </c>
      <c r="I7" s="179" t="s">
        <v>101</v>
      </c>
      <c r="J7" s="89" t="s">
        <v>12</v>
      </c>
    </row>
    <row r="8" spans="1:12" ht="30.75" customHeight="1" thickBot="1" x14ac:dyDescent="0.3">
      <c r="A8" s="286" t="s">
        <v>15</v>
      </c>
      <c r="B8" s="182" t="s">
        <v>16</v>
      </c>
      <c r="C8" s="183"/>
      <c r="D8" s="184" t="s">
        <v>18</v>
      </c>
      <c r="E8" s="185">
        <v>154632</v>
      </c>
      <c r="F8" s="160">
        <v>47</v>
      </c>
      <c r="G8" s="186">
        <v>131949</v>
      </c>
      <c r="H8" s="187">
        <v>38</v>
      </c>
      <c r="I8" s="188">
        <f>G8/E8</f>
        <v>0.85330979357442183</v>
      </c>
      <c r="J8" s="80" t="e">
        <f>#REF!+#REF!+#REF!+#REF!+#REF!+#REF!+#REF!+#REF!+#REF!+#REF!+#REF!+#REF!</f>
        <v>#REF!</v>
      </c>
    </row>
    <row r="9" spans="1:12" ht="30.75" customHeight="1" thickBot="1" x14ac:dyDescent="0.3">
      <c r="A9" s="285"/>
      <c r="B9" s="58" t="s">
        <v>20</v>
      </c>
      <c r="C9" s="88"/>
      <c r="D9" s="84" t="s">
        <v>18</v>
      </c>
      <c r="E9" s="66">
        <v>9200</v>
      </c>
      <c r="F9" s="75">
        <v>8</v>
      </c>
      <c r="G9" s="85">
        <v>13798</v>
      </c>
      <c r="H9" s="83">
        <v>12</v>
      </c>
      <c r="I9" s="188">
        <f t="shared" ref="I9:I15" si="0">G9/E9</f>
        <v>1.4997826086956523</v>
      </c>
      <c r="J9" s="80" t="e">
        <f>#REF!+#REF!+#REF!+#REF!+#REF!+#REF!+#REF!+#REF!+#REF!+#REF!+#REF!+#REF!</f>
        <v>#REF!</v>
      </c>
    </row>
    <row r="10" spans="1:12" ht="29.25" customHeight="1" thickBot="1" x14ac:dyDescent="0.3">
      <c r="A10" s="287" t="s">
        <v>128</v>
      </c>
      <c r="B10" s="288"/>
      <c r="C10" s="288"/>
      <c r="D10" s="189" t="s">
        <v>18</v>
      </c>
      <c r="E10" s="82">
        <f t="shared" ref="E10:F10" si="1">E8+E9</f>
        <v>163832</v>
      </c>
      <c r="F10" s="81">
        <f t="shared" si="1"/>
        <v>55</v>
      </c>
      <c r="G10" s="190">
        <v>145747</v>
      </c>
      <c r="H10" s="191">
        <v>50</v>
      </c>
      <c r="I10" s="188">
        <f t="shared" si="0"/>
        <v>0.889612529908687</v>
      </c>
      <c r="J10" s="80" t="e">
        <f>#REF!+#REF!+#REF!+#REF!+#REF!+#REF!+#REF!+#REF!+#REF!+#REF!+#REF!+#REF!</f>
        <v>#REF!</v>
      </c>
    </row>
    <row r="11" spans="1:12" s="87" customFormat="1" ht="29.25" customHeight="1" thickBot="1" x14ac:dyDescent="0.3">
      <c r="A11" s="284" t="s">
        <v>84</v>
      </c>
      <c r="B11" s="180" t="s">
        <v>85</v>
      </c>
      <c r="C11" s="180" t="s">
        <v>129</v>
      </c>
      <c r="D11" s="181" t="s">
        <v>18</v>
      </c>
      <c r="E11" s="105">
        <v>2600</v>
      </c>
      <c r="F11" s="106">
        <v>0</v>
      </c>
      <c r="G11" s="107">
        <v>0</v>
      </c>
      <c r="H11" s="108">
        <v>0</v>
      </c>
      <c r="I11" s="188">
        <f t="shared" si="0"/>
        <v>0</v>
      </c>
      <c r="J11" s="80" t="e">
        <f>#REF!+#REF!+#REF!+#REF!+#REF!+#REF!+#REF!+#REF!+#REF!+#REF!+#REF!+#REF!</f>
        <v>#REF!</v>
      </c>
      <c r="K11" s="80"/>
      <c r="L11" s="80"/>
    </row>
    <row r="12" spans="1:12" s="86" customFormat="1" ht="29.25" customHeight="1" thickBot="1" x14ac:dyDescent="0.3">
      <c r="A12" s="285"/>
      <c r="B12" s="58" t="s">
        <v>60</v>
      </c>
      <c r="C12" s="64" t="s">
        <v>130</v>
      </c>
      <c r="D12" s="84" t="s">
        <v>18</v>
      </c>
      <c r="E12" s="66">
        <v>4273</v>
      </c>
      <c r="F12" s="75">
        <v>2</v>
      </c>
      <c r="G12" s="85">
        <v>3168</v>
      </c>
      <c r="H12" s="83">
        <v>2</v>
      </c>
      <c r="I12" s="188">
        <f t="shared" si="0"/>
        <v>0.74139948513924647</v>
      </c>
      <c r="J12" s="80" t="e">
        <f>#REF!+#REF!+#REF!+#REF!+#REF!+#REF!+#REF!+#REF!+#REF!+#REF!+#REF!+#REF!</f>
        <v>#REF!</v>
      </c>
    </row>
    <row r="13" spans="1:12" ht="29.25" customHeight="1" thickBot="1" x14ac:dyDescent="0.3">
      <c r="A13" s="282" t="s">
        <v>131</v>
      </c>
      <c r="B13" s="283"/>
      <c r="C13" s="283"/>
      <c r="D13" s="161" t="s">
        <v>18</v>
      </c>
      <c r="E13" s="162">
        <f t="shared" ref="E13:F13" si="2">E11+E12</f>
        <v>6873</v>
      </c>
      <c r="F13" s="163">
        <f t="shared" si="2"/>
        <v>2</v>
      </c>
      <c r="G13" s="168">
        <v>3168</v>
      </c>
      <c r="H13" s="164">
        <v>2</v>
      </c>
      <c r="I13" s="188">
        <f t="shared" si="0"/>
        <v>0.4609340899170668</v>
      </c>
      <c r="J13" s="80" t="e">
        <f>#REF!+#REF!+#REF!+#REF!+#REF!+#REF!+#REF!+#REF!+#REF!+#REF!+#REF!+#REF!</f>
        <v>#REF!</v>
      </c>
    </row>
    <row r="14" spans="1:12" ht="29.25" customHeight="1" thickBot="1" x14ac:dyDescent="0.3">
      <c r="A14" s="278" t="s">
        <v>132</v>
      </c>
      <c r="B14" s="279"/>
      <c r="C14" s="279"/>
      <c r="D14" s="169" t="s">
        <v>18</v>
      </c>
      <c r="E14" s="170">
        <f t="shared" ref="E14:F14" si="3">E10+E13</f>
        <v>170705</v>
      </c>
      <c r="F14" s="171">
        <f t="shared" si="3"/>
        <v>57</v>
      </c>
      <c r="G14" s="172">
        <v>148915</v>
      </c>
      <c r="H14" s="173">
        <v>52</v>
      </c>
      <c r="I14" s="188">
        <f t="shared" si="0"/>
        <v>0.87235288948771272</v>
      </c>
      <c r="J14" s="80" t="e">
        <f>#REF!+#REF!+#REF!+#REF!+#REF!+#REF!+#REF!+#REF!+#REF!+#REF!+#REF!+#REF!</f>
        <v>#REF!</v>
      </c>
    </row>
    <row r="15" spans="1:12" ht="39" customHeight="1" thickBot="1" x14ac:dyDescent="0.3">
      <c r="A15" s="280" t="s">
        <v>133</v>
      </c>
      <c r="B15" s="281"/>
      <c r="C15" s="281"/>
      <c r="D15" s="165" t="s">
        <v>18</v>
      </c>
      <c r="E15" s="166">
        <f>E14+'Annexure-III-Expl. Drl'!E61</f>
        <v>265038</v>
      </c>
      <c r="F15" s="167">
        <f>F14+'Annexure-III-Expl. Drl'!F61</f>
        <v>84</v>
      </c>
      <c r="G15" s="166">
        <v>246336</v>
      </c>
      <c r="H15" s="167">
        <v>74</v>
      </c>
      <c r="I15" s="188">
        <f t="shared" si="0"/>
        <v>0.92943653362914003</v>
      </c>
      <c r="J15" s="60" t="e">
        <f>J14+'Annexure-III-Expl. Drl'!#REF!</f>
        <v>#REF!</v>
      </c>
    </row>
  </sheetData>
  <mergeCells count="12">
    <mergeCell ref="G5:H5"/>
    <mergeCell ref="A2:I2"/>
    <mergeCell ref="A10:C10"/>
    <mergeCell ref="E5:F5"/>
    <mergeCell ref="A14:C14"/>
    <mergeCell ref="A15:C15"/>
    <mergeCell ref="A13:C13"/>
    <mergeCell ref="A11:A12"/>
    <mergeCell ref="A8:A9"/>
    <mergeCell ref="A3:I3"/>
    <mergeCell ref="A4:I4"/>
    <mergeCell ref="I5:I6"/>
  </mergeCells>
  <pageMargins left="0.25" right="0.25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B4EA-459A-4C27-9A6F-64F75ACED235}">
  <sheetPr>
    <tabColor rgb="FFFFC000"/>
    <pageSetUpPr fitToPage="1"/>
  </sheetPr>
  <dimension ref="A1:AP49"/>
  <sheetViews>
    <sheetView view="pageBreakPreview" zoomScale="85" zoomScaleNormal="100" zoomScaleSheetLayoutView="85" zoomScalePageLayoutView="120" workbookViewId="0">
      <pane ySplit="5" topLeftCell="A6" activePane="bottomLeft" state="frozen"/>
      <selection activeCell="BF37" sqref="BF37"/>
      <selection pane="bottomLeft" activeCell="J37" sqref="J37"/>
    </sheetView>
  </sheetViews>
  <sheetFormatPr defaultColWidth="16.42578125" defaultRowHeight="15" x14ac:dyDescent="0.25"/>
  <cols>
    <col min="1" max="1" width="11.28515625" style="35" customWidth="1"/>
    <col min="2" max="2" width="23.42578125" style="35" bestFit="1" customWidth="1"/>
    <col min="3" max="3" width="26" style="35" customWidth="1"/>
    <col min="4" max="4" width="8" style="35" customWidth="1"/>
    <col min="5" max="5" width="14.5703125" style="36" customWidth="1"/>
    <col min="6" max="16384" width="16.42578125" style="35"/>
  </cols>
  <sheetData>
    <row r="1" spans="1:7" ht="21.75" customHeight="1" thickBot="1" x14ac:dyDescent="0.3">
      <c r="A1" s="305"/>
      <c r="B1" s="305"/>
      <c r="C1" s="305"/>
      <c r="D1" s="305"/>
      <c r="E1" s="305"/>
      <c r="F1" s="305"/>
      <c r="G1" s="51" t="s">
        <v>134</v>
      </c>
    </row>
    <row r="2" spans="1:7" ht="21.75" customHeight="1" x14ac:dyDescent="0.25">
      <c r="A2" s="307" t="s">
        <v>1</v>
      </c>
      <c r="B2" s="308"/>
      <c r="C2" s="308"/>
      <c r="D2" s="308"/>
      <c r="E2" s="308"/>
      <c r="F2" s="308"/>
      <c r="G2" s="309"/>
    </row>
    <row r="3" spans="1:7" ht="21.75" customHeight="1" x14ac:dyDescent="0.25">
      <c r="A3" s="310" t="s">
        <v>199</v>
      </c>
      <c r="B3" s="311"/>
      <c r="C3" s="311"/>
      <c r="D3" s="311"/>
      <c r="E3" s="311"/>
      <c r="F3" s="311"/>
      <c r="G3" s="312"/>
    </row>
    <row r="4" spans="1:7" ht="21.75" customHeight="1" thickBot="1" x14ac:dyDescent="0.3">
      <c r="A4" s="313" t="s">
        <v>135</v>
      </c>
      <c r="B4" s="314"/>
      <c r="C4" s="314"/>
      <c r="D4" s="314"/>
      <c r="E4" s="314"/>
      <c r="F4" s="314"/>
      <c r="G4" s="315"/>
    </row>
    <row r="5" spans="1:7" x14ac:dyDescent="0.25">
      <c r="A5" s="50" t="s">
        <v>3</v>
      </c>
      <c r="B5" s="48" t="s">
        <v>4</v>
      </c>
      <c r="C5" s="48" t="s">
        <v>5</v>
      </c>
      <c r="D5" s="49" t="s">
        <v>6</v>
      </c>
      <c r="E5" s="48" t="s">
        <v>136</v>
      </c>
      <c r="F5" s="318" t="s">
        <v>8</v>
      </c>
      <c r="G5" s="319"/>
    </row>
    <row r="6" spans="1:7" ht="21.75" customHeight="1" x14ac:dyDescent="0.25">
      <c r="A6" s="47"/>
      <c r="B6" s="46"/>
      <c r="C6" s="46"/>
      <c r="D6" s="41"/>
      <c r="E6" s="46" t="s">
        <v>137</v>
      </c>
      <c r="F6" s="110" t="s">
        <v>13</v>
      </c>
      <c r="G6" s="45" t="s">
        <v>101</v>
      </c>
    </row>
    <row r="7" spans="1:7" ht="21.75" customHeight="1" x14ac:dyDescent="0.25">
      <c r="A7" s="323" t="s">
        <v>15</v>
      </c>
      <c r="B7" s="40" t="s">
        <v>16</v>
      </c>
      <c r="C7" s="40" t="s">
        <v>15</v>
      </c>
      <c r="D7" s="322" t="s">
        <v>138</v>
      </c>
      <c r="E7" s="40">
        <v>0</v>
      </c>
      <c r="F7" s="104">
        <v>0</v>
      </c>
      <c r="G7" s="39" t="s">
        <v>190</v>
      </c>
    </row>
    <row r="8" spans="1:7" ht="21.75" customHeight="1" x14ac:dyDescent="0.25">
      <c r="A8" s="324"/>
      <c r="B8" s="40" t="s">
        <v>20</v>
      </c>
      <c r="C8" s="40" t="s">
        <v>15</v>
      </c>
      <c r="D8" s="322"/>
      <c r="E8" s="40">
        <v>0</v>
      </c>
      <c r="F8" s="104">
        <v>0</v>
      </c>
      <c r="G8" s="39" t="s">
        <v>190</v>
      </c>
    </row>
    <row r="9" spans="1:7" s="43" customFormat="1" ht="21.75" customHeight="1" x14ac:dyDescent="0.25">
      <c r="A9" s="99" t="s">
        <v>139</v>
      </c>
      <c r="B9" s="101"/>
      <c r="C9" s="101"/>
      <c r="D9" s="322"/>
      <c r="E9" s="41">
        <f>E7+E8</f>
        <v>0</v>
      </c>
      <c r="F9" s="104">
        <v>0</v>
      </c>
      <c r="G9" s="39" t="s">
        <v>190</v>
      </c>
    </row>
    <row r="10" spans="1:7" ht="21.75" hidden="1" customHeight="1" x14ac:dyDescent="0.25">
      <c r="A10" s="306" t="s">
        <v>22</v>
      </c>
      <c r="B10" s="322"/>
      <c r="C10" s="322"/>
      <c r="D10" s="322"/>
      <c r="E10" s="40">
        <v>0</v>
      </c>
      <c r="F10" s="104">
        <v>0</v>
      </c>
      <c r="G10" s="39" t="s">
        <v>190</v>
      </c>
    </row>
    <row r="11" spans="1:7" s="43" customFormat="1" ht="21.75" hidden="1" customHeight="1" x14ac:dyDescent="0.25">
      <c r="A11" s="99" t="s">
        <v>140</v>
      </c>
      <c r="B11" s="101"/>
      <c r="C11" s="101"/>
      <c r="D11" s="322"/>
      <c r="E11" s="41">
        <f>SUM(E10:E10)</f>
        <v>0</v>
      </c>
      <c r="F11" s="104">
        <v>0</v>
      </c>
      <c r="G11" s="39" t="s">
        <v>190</v>
      </c>
    </row>
    <row r="12" spans="1:7" s="43" customFormat="1" ht="21.75" hidden="1" customHeight="1" x14ac:dyDescent="0.25">
      <c r="A12" s="306" t="s">
        <v>32</v>
      </c>
      <c r="B12" s="44" t="s">
        <v>27</v>
      </c>
      <c r="C12" s="44" t="s">
        <v>33</v>
      </c>
      <c r="D12" s="322"/>
      <c r="E12" s="40">
        <v>0</v>
      </c>
      <c r="F12" s="104">
        <v>0</v>
      </c>
      <c r="G12" s="39" t="s">
        <v>190</v>
      </c>
    </row>
    <row r="13" spans="1:7" ht="21.75" hidden="1" customHeight="1" x14ac:dyDescent="0.25">
      <c r="A13" s="306"/>
      <c r="B13" s="44" t="s">
        <v>36</v>
      </c>
      <c r="C13" s="44" t="s">
        <v>141</v>
      </c>
      <c r="D13" s="322"/>
      <c r="E13" s="40">
        <v>0</v>
      </c>
      <c r="F13" s="104">
        <v>0</v>
      </c>
      <c r="G13" s="39" t="s">
        <v>190</v>
      </c>
    </row>
    <row r="14" spans="1:7" ht="21.75" hidden="1" customHeight="1" x14ac:dyDescent="0.25">
      <c r="A14" s="306"/>
      <c r="B14" s="44" t="s">
        <v>27</v>
      </c>
      <c r="C14" s="44" t="s">
        <v>142</v>
      </c>
      <c r="D14" s="322"/>
      <c r="E14" s="40">
        <v>0</v>
      </c>
      <c r="F14" s="104">
        <v>0</v>
      </c>
      <c r="G14" s="39" t="s">
        <v>190</v>
      </c>
    </row>
    <row r="15" spans="1:7" s="43" customFormat="1" ht="21.75" hidden="1" customHeight="1" x14ac:dyDescent="0.25">
      <c r="A15" s="99" t="s">
        <v>143</v>
      </c>
      <c r="B15" s="100"/>
      <c r="C15" s="100"/>
      <c r="D15" s="322"/>
      <c r="E15" s="41">
        <f>SUM(E12:E14)</f>
        <v>0</v>
      </c>
      <c r="F15" s="104">
        <v>0</v>
      </c>
      <c r="G15" s="39" t="s">
        <v>190</v>
      </c>
    </row>
    <row r="16" spans="1:7" ht="21.75" hidden="1" customHeight="1" x14ac:dyDescent="0.25">
      <c r="A16" s="316" t="s">
        <v>46</v>
      </c>
      <c r="B16" s="317"/>
      <c r="C16" s="317"/>
      <c r="D16" s="322"/>
      <c r="E16" s="40">
        <v>0</v>
      </c>
      <c r="F16" s="104">
        <v>0</v>
      </c>
      <c r="G16" s="39" t="s">
        <v>190</v>
      </c>
    </row>
    <row r="17" spans="1:7" s="43" customFormat="1" ht="21.75" hidden="1" customHeight="1" x14ac:dyDescent="0.25">
      <c r="A17" s="99" t="s">
        <v>144</v>
      </c>
      <c r="B17" s="100"/>
      <c r="C17" s="100"/>
      <c r="D17" s="322"/>
      <c r="E17" s="41">
        <f>SUM(E16:E16)</f>
        <v>0</v>
      </c>
      <c r="F17" s="104">
        <v>0</v>
      </c>
      <c r="G17" s="39" t="s">
        <v>190</v>
      </c>
    </row>
    <row r="18" spans="1:7" ht="21.75" hidden="1" customHeight="1" x14ac:dyDescent="0.25">
      <c r="A18" s="306" t="s">
        <v>56</v>
      </c>
      <c r="B18" s="40" t="s">
        <v>57</v>
      </c>
      <c r="C18" s="44" t="s">
        <v>58</v>
      </c>
      <c r="D18" s="322"/>
      <c r="E18" s="40">
        <v>0</v>
      </c>
      <c r="F18" s="104">
        <v>0</v>
      </c>
      <c r="G18" s="39" t="s">
        <v>190</v>
      </c>
    </row>
    <row r="19" spans="1:7" ht="21.75" hidden="1" customHeight="1" x14ac:dyDescent="0.25">
      <c r="A19" s="321"/>
      <c r="B19" s="40" t="s">
        <v>27</v>
      </c>
      <c r="C19" s="44" t="s">
        <v>145</v>
      </c>
      <c r="D19" s="322"/>
      <c r="E19" s="40">
        <v>0</v>
      </c>
      <c r="F19" s="104">
        <v>0</v>
      </c>
      <c r="G19" s="39" t="s">
        <v>190</v>
      </c>
    </row>
    <row r="20" spans="1:7" ht="21.75" hidden="1" customHeight="1" x14ac:dyDescent="0.25">
      <c r="A20" s="321"/>
      <c r="B20" s="40" t="s">
        <v>60</v>
      </c>
      <c r="C20" s="44" t="s">
        <v>146</v>
      </c>
      <c r="D20" s="322"/>
      <c r="E20" s="40">
        <v>0</v>
      </c>
      <c r="F20" s="104">
        <v>0</v>
      </c>
      <c r="G20" s="39" t="s">
        <v>190</v>
      </c>
    </row>
    <row r="21" spans="1:7" s="43" customFormat="1" ht="21.75" hidden="1" customHeight="1" x14ac:dyDescent="0.25">
      <c r="A21" s="99" t="s">
        <v>147</v>
      </c>
      <c r="B21" s="100"/>
      <c r="C21" s="100"/>
      <c r="D21" s="322"/>
      <c r="E21" s="41">
        <f>SUM(E18:E20)</f>
        <v>0</v>
      </c>
      <c r="F21" s="104">
        <v>0</v>
      </c>
      <c r="G21" s="39" t="s">
        <v>190</v>
      </c>
    </row>
    <row r="22" spans="1:7" ht="21.75" hidden="1" customHeight="1" x14ac:dyDescent="0.25">
      <c r="A22" s="306" t="s">
        <v>67</v>
      </c>
      <c r="B22" s="40" t="s">
        <v>27</v>
      </c>
      <c r="C22" s="44" t="s">
        <v>148</v>
      </c>
      <c r="D22" s="322"/>
      <c r="E22" s="40">
        <v>0</v>
      </c>
      <c r="F22" s="104">
        <v>0</v>
      </c>
      <c r="G22" s="39" t="s">
        <v>190</v>
      </c>
    </row>
    <row r="23" spans="1:7" ht="21.75" hidden="1" customHeight="1" x14ac:dyDescent="0.25">
      <c r="A23" s="306"/>
      <c r="B23" s="40" t="s">
        <v>27</v>
      </c>
      <c r="C23" s="44" t="s">
        <v>69</v>
      </c>
      <c r="D23" s="322"/>
      <c r="E23" s="40">
        <v>0</v>
      </c>
      <c r="F23" s="104">
        <v>0</v>
      </c>
      <c r="G23" s="39" t="s">
        <v>190</v>
      </c>
    </row>
    <row r="24" spans="1:7" ht="21.75" hidden="1" customHeight="1" x14ac:dyDescent="0.25">
      <c r="A24" s="306"/>
      <c r="B24" s="40" t="s">
        <v>20</v>
      </c>
      <c r="C24" s="40" t="s">
        <v>149</v>
      </c>
      <c r="D24" s="322"/>
      <c r="E24" s="40">
        <v>0</v>
      </c>
      <c r="F24" s="104">
        <v>0</v>
      </c>
      <c r="G24" s="39" t="s">
        <v>190</v>
      </c>
    </row>
    <row r="25" spans="1:7" ht="21.75" hidden="1" customHeight="1" x14ac:dyDescent="0.25">
      <c r="A25" s="306"/>
      <c r="B25" s="40" t="s">
        <v>20</v>
      </c>
      <c r="C25" s="40" t="s">
        <v>150</v>
      </c>
      <c r="D25" s="322"/>
      <c r="E25" s="40">
        <v>0</v>
      </c>
      <c r="F25" s="104">
        <v>0</v>
      </c>
      <c r="G25" s="39" t="s">
        <v>190</v>
      </c>
    </row>
    <row r="26" spans="1:7" s="43" customFormat="1" ht="21.75" hidden="1" customHeight="1" x14ac:dyDescent="0.25">
      <c r="A26" s="99" t="s">
        <v>151</v>
      </c>
      <c r="B26" s="100"/>
      <c r="C26" s="100"/>
      <c r="D26" s="322"/>
      <c r="E26" s="41">
        <f>SUM(E22:E25)</f>
        <v>0</v>
      </c>
      <c r="F26" s="104">
        <v>0</v>
      </c>
      <c r="G26" s="39" t="s">
        <v>190</v>
      </c>
    </row>
    <row r="27" spans="1:7" ht="21.75" hidden="1" customHeight="1" x14ac:dyDescent="0.25">
      <c r="A27" s="306" t="s">
        <v>152</v>
      </c>
      <c r="B27" s="40" t="s">
        <v>60</v>
      </c>
      <c r="C27" s="40" t="s">
        <v>153</v>
      </c>
      <c r="D27" s="322"/>
      <c r="E27" s="40">
        <v>0</v>
      </c>
      <c r="F27" s="104">
        <v>0</v>
      </c>
      <c r="G27" s="39" t="s">
        <v>190</v>
      </c>
    </row>
    <row r="28" spans="1:7" ht="21.75" hidden="1" customHeight="1" x14ac:dyDescent="0.25">
      <c r="A28" s="306"/>
      <c r="B28" s="40" t="s">
        <v>60</v>
      </c>
      <c r="C28" s="40" t="s">
        <v>154</v>
      </c>
      <c r="D28" s="322"/>
      <c r="E28" s="40">
        <v>0</v>
      </c>
      <c r="F28" s="104">
        <v>0</v>
      </c>
      <c r="G28" s="39" t="s">
        <v>190</v>
      </c>
    </row>
    <row r="29" spans="1:7" s="43" customFormat="1" ht="21.75" hidden="1" customHeight="1" x14ac:dyDescent="0.25">
      <c r="A29" s="99" t="s">
        <v>155</v>
      </c>
      <c r="B29" s="100"/>
      <c r="C29" s="100"/>
      <c r="D29" s="322"/>
      <c r="E29" s="41">
        <f>SUM(E27:E28)</f>
        <v>0</v>
      </c>
      <c r="F29" s="104">
        <v>0</v>
      </c>
      <c r="G29" s="39" t="s">
        <v>190</v>
      </c>
    </row>
    <row r="30" spans="1:7" s="43" customFormat="1" ht="21.75" hidden="1" customHeight="1" x14ac:dyDescent="0.25">
      <c r="A30" s="306" t="s">
        <v>77</v>
      </c>
      <c r="B30" s="40" t="s">
        <v>27</v>
      </c>
      <c r="C30" s="40" t="s">
        <v>156</v>
      </c>
      <c r="D30" s="322"/>
      <c r="E30" s="40">
        <v>0</v>
      </c>
      <c r="F30" s="104">
        <v>0</v>
      </c>
      <c r="G30" s="39" t="s">
        <v>190</v>
      </c>
    </row>
    <row r="31" spans="1:7" s="43" customFormat="1" ht="21.75" hidden="1" customHeight="1" x14ac:dyDescent="0.25">
      <c r="A31" s="306"/>
      <c r="B31" s="40" t="s">
        <v>27</v>
      </c>
      <c r="C31" s="40" t="s">
        <v>157</v>
      </c>
      <c r="D31" s="322"/>
      <c r="E31" s="40">
        <v>0</v>
      </c>
      <c r="F31" s="104">
        <v>0</v>
      </c>
      <c r="G31" s="39" t="s">
        <v>190</v>
      </c>
    </row>
    <row r="32" spans="1:7" s="43" customFormat="1" ht="21.75" hidden="1" customHeight="1" x14ac:dyDescent="0.25">
      <c r="A32" s="99" t="s">
        <v>158</v>
      </c>
      <c r="B32" s="100"/>
      <c r="C32" s="100"/>
      <c r="D32" s="322"/>
      <c r="E32" s="41">
        <f>E30+E31</f>
        <v>0</v>
      </c>
      <c r="F32" s="104">
        <v>0</v>
      </c>
      <c r="G32" s="39" t="s">
        <v>190</v>
      </c>
    </row>
    <row r="33" spans="1:7" s="43" customFormat="1" ht="21.75" customHeight="1" x14ac:dyDescent="0.25">
      <c r="A33" s="42" t="s">
        <v>81</v>
      </c>
      <c r="B33" s="40" t="s">
        <v>27</v>
      </c>
      <c r="C33" s="133" t="s">
        <v>159</v>
      </c>
      <c r="D33" s="322"/>
      <c r="E33" s="40">
        <v>100</v>
      </c>
      <c r="F33" s="104">
        <v>0</v>
      </c>
      <c r="G33" s="39">
        <v>0</v>
      </c>
    </row>
    <row r="34" spans="1:7" s="43" customFormat="1" ht="21.75" customHeight="1" x14ac:dyDescent="0.25">
      <c r="A34" s="306" t="s">
        <v>160</v>
      </c>
      <c r="B34" s="320"/>
      <c r="C34" s="320"/>
      <c r="D34" s="322"/>
      <c r="E34" s="41">
        <f>E33</f>
        <v>100</v>
      </c>
      <c r="F34" s="104">
        <v>0</v>
      </c>
      <c r="G34" s="39">
        <v>0</v>
      </c>
    </row>
    <row r="35" spans="1:7" s="43" customFormat="1" ht="21.75" customHeight="1" x14ac:dyDescent="0.25">
      <c r="A35" s="294" t="s">
        <v>161</v>
      </c>
      <c r="B35" s="192" t="s">
        <v>162</v>
      </c>
      <c r="C35" s="133" t="s">
        <v>163</v>
      </c>
      <c r="D35" s="322"/>
      <c r="E35" s="299">
        <v>1100</v>
      </c>
      <c r="F35" s="195">
        <v>1000.85</v>
      </c>
      <c r="G35" s="297">
        <v>3.8503363636363637</v>
      </c>
    </row>
    <row r="36" spans="1:7" s="43" customFormat="1" ht="21.75" customHeight="1" x14ac:dyDescent="0.25">
      <c r="A36" s="295"/>
      <c r="B36" s="192" t="s">
        <v>162</v>
      </c>
      <c r="C36" s="133" t="s">
        <v>164</v>
      </c>
      <c r="D36" s="322"/>
      <c r="E36" s="300"/>
      <c r="F36" s="195">
        <v>1101.45</v>
      </c>
      <c r="G36" s="298"/>
    </row>
    <row r="37" spans="1:7" s="43" customFormat="1" ht="21.75" customHeight="1" x14ac:dyDescent="0.25">
      <c r="A37" s="295"/>
      <c r="B37" s="192" t="s">
        <v>165</v>
      </c>
      <c r="C37" s="133" t="s">
        <v>166</v>
      </c>
      <c r="D37" s="322"/>
      <c r="E37" s="300"/>
      <c r="F37" s="195">
        <v>1000.25</v>
      </c>
      <c r="G37" s="298"/>
    </row>
    <row r="38" spans="1:7" s="43" customFormat="1" ht="21.75" customHeight="1" x14ac:dyDescent="0.25">
      <c r="A38" s="295"/>
      <c r="B38" s="192" t="s">
        <v>165</v>
      </c>
      <c r="C38" s="133" t="s">
        <v>167</v>
      </c>
      <c r="D38" s="322"/>
      <c r="E38" s="300"/>
      <c r="F38" s="195">
        <v>1101.1000000000001</v>
      </c>
      <c r="G38" s="298"/>
    </row>
    <row r="39" spans="1:7" s="43" customFormat="1" ht="21.75" customHeight="1" x14ac:dyDescent="0.25">
      <c r="A39" s="296"/>
      <c r="B39" s="192" t="s">
        <v>195</v>
      </c>
      <c r="C39" s="133" t="s">
        <v>196</v>
      </c>
      <c r="D39" s="322"/>
      <c r="E39" s="300"/>
      <c r="F39" s="195">
        <v>31.72</v>
      </c>
      <c r="G39" s="298"/>
    </row>
    <row r="40" spans="1:7" s="43" customFormat="1" ht="21.75" hidden="1" customHeight="1" x14ac:dyDescent="0.25">
      <c r="A40" s="321" t="s">
        <v>168</v>
      </c>
      <c r="B40" s="320"/>
      <c r="C40" s="320"/>
      <c r="D40" s="322"/>
      <c r="E40" s="301"/>
      <c r="F40" s="104">
        <v>0</v>
      </c>
      <c r="G40" s="196"/>
    </row>
    <row r="41" spans="1:7" s="43" customFormat="1" ht="21.75" customHeight="1" x14ac:dyDescent="0.25">
      <c r="A41" s="306" t="s">
        <v>169</v>
      </c>
      <c r="B41" s="322"/>
      <c r="C41" s="322"/>
      <c r="D41" s="322"/>
      <c r="E41" s="41">
        <f>SUM(E35:E35)</f>
        <v>1100</v>
      </c>
      <c r="F41" s="104">
        <v>4235.37</v>
      </c>
      <c r="G41" s="193">
        <v>3.8503363636363637</v>
      </c>
    </row>
    <row r="42" spans="1:7" s="43" customFormat="1" ht="21.75" hidden="1" customHeight="1" x14ac:dyDescent="0.25">
      <c r="A42" s="306" t="s">
        <v>84</v>
      </c>
      <c r="B42" s="44" t="s">
        <v>85</v>
      </c>
      <c r="C42" s="40" t="s">
        <v>170</v>
      </c>
      <c r="D42" s="322"/>
      <c r="E42" s="40">
        <v>0</v>
      </c>
      <c r="F42" s="104">
        <v>0</v>
      </c>
      <c r="G42" s="39" t="s">
        <v>190</v>
      </c>
    </row>
    <row r="43" spans="1:7" ht="21.75" hidden="1" customHeight="1" thickBot="1" x14ac:dyDescent="0.3">
      <c r="A43" s="306"/>
      <c r="B43" s="44" t="s">
        <v>60</v>
      </c>
      <c r="C43" s="44" t="s">
        <v>171</v>
      </c>
      <c r="D43" s="322"/>
      <c r="E43" s="40">
        <v>0</v>
      </c>
      <c r="F43" s="104">
        <v>0</v>
      </c>
      <c r="G43" s="39" t="s">
        <v>190</v>
      </c>
    </row>
    <row r="44" spans="1:7" s="43" customFormat="1" ht="21.75" hidden="1" customHeight="1" thickBot="1" x14ac:dyDescent="0.3">
      <c r="A44" s="99" t="s">
        <v>172</v>
      </c>
      <c r="B44" s="101"/>
      <c r="C44" s="101"/>
      <c r="D44" s="322"/>
      <c r="E44" s="41">
        <f>E42+E43</f>
        <v>0</v>
      </c>
      <c r="F44" s="104">
        <v>0</v>
      </c>
      <c r="G44" s="39" t="s">
        <v>190</v>
      </c>
    </row>
    <row r="45" spans="1:7" ht="21.75" hidden="1" customHeight="1" thickBot="1" x14ac:dyDescent="0.3">
      <c r="A45" s="42" t="s">
        <v>92</v>
      </c>
      <c r="B45" s="40" t="s">
        <v>93</v>
      </c>
      <c r="C45" s="40" t="s">
        <v>94</v>
      </c>
      <c r="D45" s="322"/>
      <c r="E45" s="40">
        <v>0</v>
      </c>
      <c r="F45" s="104">
        <v>0</v>
      </c>
      <c r="G45" s="39" t="s">
        <v>190</v>
      </c>
    </row>
    <row r="46" spans="1:7" ht="21.75" hidden="1" customHeight="1" thickBot="1" x14ac:dyDescent="0.3">
      <c r="A46" s="99" t="s">
        <v>173</v>
      </c>
      <c r="B46" s="100"/>
      <c r="C46" s="100"/>
      <c r="D46" s="322"/>
      <c r="E46" s="41">
        <f>SUM(E45)</f>
        <v>0</v>
      </c>
      <c r="F46" s="104">
        <v>0</v>
      </c>
      <c r="G46" s="39" t="s">
        <v>190</v>
      </c>
    </row>
    <row r="47" spans="1:7" ht="21.75" customHeight="1" thickBot="1" x14ac:dyDescent="0.3">
      <c r="A47" s="302" t="s">
        <v>174</v>
      </c>
      <c r="B47" s="303"/>
      <c r="C47" s="304"/>
      <c r="D47" s="38" t="s">
        <v>138</v>
      </c>
      <c r="E47" s="38">
        <f>E9+E11+E15+E17+E21+E26+E29+E32+E41+E44+E46+E33</f>
        <v>1200</v>
      </c>
      <c r="F47" s="111">
        <v>4235.37</v>
      </c>
      <c r="G47" s="201">
        <v>3.5294749999999997</v>
      </c>
    </row>
    <row r="48" spans="1:7" ht="15.75" thickBot="1" x14ac:dyDescent="0.3">
      <c r="A48" s="197"/>
      <c r="B48" s="198"/>
      <c r="C48" s="198"/>
      <c r="D48" s="198"/>
      <c r="E48" s="199"/>
      <c r="F48" s="198"/>
      <c r="G48" s="200"/>
    </row>
    <row r="49" spans="1:1" x14ac:dyDescent="0.25">
      <c r="A49" s="37"/>
    </row>
  </sheetData>
  <mergeCells count="22">
    <mergeCell ref="F5:G5"/>
    <mergeCell ref="A34:C34"/>
    <mergeCell ref="A40:C40"/>
    <mergeCell ref="A41:C41"/>
    <mergeCell ref="A42:A43"/>
    <mergeCell ref="A18:A20"/>
    <mergeCell ref="A7:A8"/>
    <mergeCell ref="D7:D46"/>
    <mergeCell ref="A10:C10"/>
    <mergeCell ref="A30:A31"/>
    <mergeCell ref="E35:E40"/>
    <mergeCell ref="A47:C47"/>
    <mergeCell ref="A1:F1"/>
    <mergeCell ref="A22:A25"/>
    <mergeCell ref="A27:A28"/>
    <mergeCell ref="A2:G2"/>
    <mergeCell ref="A3:G3"/>
    <mergeCell ref="A4:G4"/>
    <mergeCell ref="A12:A14"/>
    <mergeCell ref="A16:C16"/>
    <mergeCell ref="A35:A39"/>
    <mergeCell ref="G35:G39"/>
  </mergeCells>
  <printOptions horizontalCentered="1"/>
  <pageMargins left="0.47244094488188981" right="0.47244094488188981" top="0.47244094488188981" bottom="0.51181102362204722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92BC-6271-458B-8B9E-ACCB81B9DA64}">
  <sheetPr>
    <tabColor rgb="FFFF9900"/>
    <pageSetUpPr fitToPage="1"/>
  </sheetPr>
  <dimension ref="A1:AP48"/>
  <sheetViews>
    <sheetView tabSelected="1" zoomScaleNormal="100" zoomScaleSheetLayoutView="94" workbookViewId="0">
      <pane ySplit="2" topLeftCell="A3" activePane="bottomLeft" state="frozen"/>
      <selection activeCell="BF37" sqref="BF37"/>
      <selection pane="bottomLeft" activeCell="P30" sqref="P30"/>
    </sheetView>
  </sheetViews>
  <sheetFormatPr defaultColWidth="9.140625" defaultRowHeight="15.75" x14ac:dyDescent="0.25"/>
  <cols>
    <col min="1" max="1" width="22.28515625" style="52" customWidth="1"/>
    <col min="2" max="2" width="22" style="52" customWidth="1"/>
    <col min="3" max="3" width="27" style="52" customWidth="1"/>
    <col min="4" max="4" width="7.42578125" style="52" bestFit="1" customWidth="1"/>
    <col min="5" max="5" width="12.140625" style="53" bestFit="1" customWidth="1"/>
    <col min="6" max="7" width="11.5703125" style="52" customWidth="1"/>
    <col min="8" max="16384" width="9.140625" style="52"/>
  </cols>
  <sheetData>
    <row r="1" spans="1:7" ht="16.5" thickBot="1" x14ac:dyDescent="0.3">
      <c r="G1" s="73" t="s">
        <v>175</v>
      </c>
    </row>
    <row r="2" spans="1:7" s="55" customFormat="1" ht="21" customHeight="1" x14ac:dyDescent="0.25">
      <c r="A2" s="325" t="s">
        <v>1</v>
      </c>
      <c r="B2" s="326"/>
      <c r="C2" s="326"/>
      <c r="D2" s="326"/>
      <c r="E2" s="326"/>
      <c r="F2" s="326"/>
      <c r="G2" s="327"/>
    </row>
    <row r="3" spans="1:7" s="55" customFormat="1" ht="21" customHeight="1" x14ac:dyDescent="0.25">
      <c r="A3" s="328" t="s">
        <v>199</v>
      </c>
      <c r="B3" s="329"/>
      <c r="C3" s="329"/>
      <c r="D3" s="329"/>
      <c r="E3" s="329"/>
      <c r="F3" s="329"/>
      <c r="G3" s="330"/>
    </row>
    <row r="4" spans="1:7" s="55" customFormat="1" ht="21" customHeight="1" thickBot="1" x14ac:dyDescent="0.3">
      <c r="A4" s="331" t="s">
        <v>176</v>
      </c>
      <c r="B4" s="332"/>
      <c r="C4" s="332"/>
      <c r="D4" s="332"/>
      <c r="E4" s="332"/>
      <c r="F4" s="333"/>
      <c r="G4" s="334"/>
    </row>
    <row r="5" spans="1:7" ht="21" customHeight="1" x14ac:dyDescent="0.25">
      <c r="A5" s="69" t="s">
        <v>3</v>
      </c>
      <c r="B5" s="72" t="s">
        <v>4</v>
      </c>
      <c r="C5" s="72" t="s">
        <v>5</v>
      </c>
      <c r="D5" s="72" t="s">
        <v>6</v>
      </c>
      <c r="E5" s="71" t="s">
        <v>136</v>
      </c>
      <c r="F5" s="335" t="s">
        <v>8</v>
      </c>
      <c r="G5" s="336"/>
    </row>
    <row r="6" spans="1:7" ht="21" customHeight="1" x14ac:dyDescent="0.25">
      <c r="A6" s="63"/>
      <c r="B6" s="57"/>
      <c r="C6" s="57"/>
      <c r="D6" s="57"/>
      <c r="E6" s="65" t="s">
        <v>177</v>
      </c>
      <c r="F6" s="90" t="s">
        <v>13</v>
      </c>
      <c r="G6" s="70" t="s">
        <v>101</v>
      </c>
    </row>
    <row r="7" spans="1:7" ht="21" customHeight="1" x14ac:dyDescent="0.25">
      <c r="A7" s="355" t="s">
        <v>15</v>
      </c>
      <c r="B7" s="67" t="s">
        <v>16</v>
      </c>
      <c r="C7" s="67" t="s">
        <v>15</v>
      </c>
      <c r="D7" s="359" t="s">
        <v>178</v>
      </c>
      <c r="E7" s="68">
        <v>100</v>
      </c>
      <c r="F7" s="66">
        <v>187.85000000000002</v>
      </c>
      <c r="G7" s="141">
        <v>1.8785000000000003</v>
      </c>
    </row>
    <row r="8" spans="1:7" ht="21" customHeight="1" x14ac:dyDescent="0.25">
      <c r="A8" s="356"/>
      <c r="B8" s="58" t="s">
        <v>20</v>
      </c>
      <c r="C8" s="58" t="s">
        <v>15</v>
      </c>
      <c r="D8" s="359"/>
      <c r="E8" s="62">
        <v>65</v>
      </c>
      <c r="F8" s="66">
        <v>8</v>
      </c>
      <c r="G8" s="141">
        <v>0.12307692307692308</v>
      </c>
    </row>
    <row r="9" spans="1:7" s="61" customFormat="1" ht="21" customHeight="1" x14ac:dyDescent="0.25">
      <c r="A9" s="340" t="s">
        <v>179</v>
      </c>
      <c r="B9" s="341"/>
      <c r="C9" s="342"/>
      <c r="D9" s="359"/>
      <c r="E9" s="59">
        <f>E7+E8</f>
        <v>165</v>
      </c>
      <c r="F9" s="63">
        <v>195.85000000000002</v>
      </c>
      <c r="G9" s="141">
        <v>1.186969696969697</v>
      </c>
    </row>
    <row r="10" spans="1:7" ht="21" hidden="1" customHeight="1" x14ac:dyDescent="0.25">
      <c r="A10" s="63">
        <v>3</v>
      </c>
      <c r="B10" s="97"/>
      <c r="C10" s="98"/>
      <c r="D10" s="359"/>
      <c r="E10" s="62">
        <v>0</v>
      </c>
      <c r="F10" s="109">
        <v>0</v>
      </c>
      <c r="G10" s="56" t="s">
        <v>190</v>
      </c>
    </row>
    <row r="11" spans="1:7" s="61" customFormat="1" ht="21" customHeight="1" x14ac:dyDescent="0.25">
      <c r="A11" s="340" t="s">
        <v>140</v>
      </c>
      <c r="B11" s="341"/>
      <c r="C11" s="342"/>
      <c r="D11" s="359"/>
      <c r="E11" s="59">
        <f>E10</f>
        <v>0</v>
      </c>
      <c r="F11" s="63">
        <v>0</v>
      </c>
      <c r="G11" s="56" t="s">
        <v>190</v>
      </c>
    </row>
    <row r="12" spans="1:7" ht="21" hidden="1" customHeight="1" x14ac:dyDescent="0.25">
      <c r="A12" s="63">
        <v>4</v>
      </c>
      <c r="B12" s="59" t="s">
        <v>27</v>
      </c>
      <c r="C12" s="58" t="s">
        <v>180</v>
      </c>
      <c r="D12" s="359"/>
      <c r="E12" s="62">
        <v>0</v>
      </c>
      <c r="F12" s="109">
        <v>0</v>
      </c>
      <c r="G12" s="56" t="s">
        <v>190</v>
      </c>
    </row>
    <row r="13" spans="1:7" ht="21" hidden="1" customHeight="1" x14ac:dyDescent="0.25">
      <c r="A13" s="63">
        <v>5</v>
      </c>
      <c r="B13" s="59" t="s">
        <v>16</v>
      </c>
      <c r="C13" s="58" t="s">
        <v>181</v>
      </c>
      <c r="D13" s="359"/>
      <c r="E13" s="62">
        <v>0</v>
      </c>
      <c r="F13" s="109">
        <v>0</v>
      </c>
      <c r="G13" s="56" t="s">
        <v>190</v>
      </c>
    </row>
    <row r="14" spans="1:7" s="61" customFormat="1" ht="21" customHeight="1" x14ac:dyDescent="0.25">
      <c r="A14" s="340" t="s">
        <v>143</v>
      </c>
      <c r="B14" s="341"/>
      <c r="C14" s="342"/>
      <c r="D14" s="359"/>
      <c r="E14" s="59">
        <f>E12+E13</f>
        <v>0</v>
      </c>
      <c r="F14" s="63">
        <v>0</v>
      </c>
      <c r="G14" s="56" t="s">
        <v>190</v>
      </c>
    </row>
    <row r="15" spans="1:7" ht="21" hidden="1" customHeight="1" x14ac:dyDescent="0.25">
      <c r="A15" s="63">
        <v>6</v>
      </c>
      <c r="B15" s="59" t="s">
        <v>50</v>
      </c>
      <c r="C15" s="58" t="s">
        <v>182</v>
      </c>
      <c r="D15" s="359"/>
      <c r="E15" s="62">
        <v>0</v>
      </c>
      <c r="F15" s="109">
        <v>0</v>
      </c>
      <c r="G15" s="56" t="s">
        <v>190</v>
      </c>
    </row>
    <row r="16" spans="1:7" ht="21" hidden="1" customHeight="1" x14ac:dyDescent="0.25">
      <c r="A16" s="63">
        <v>7</v>
      </c>
      <c r="B16" s="59" t="s">
        <v>50</v>
      </c>
      <c r="C16" s="58" t="s">
        <v>183</v>
      </c>
      <c r="D16" s="359"/>
      <c r="E16" s="62">
        <v>0</v>
      </c>
      <c r="F16" s="109">
        <v>0</v>
      </c>
      <c r="G16" s="56" t="s">
        <v>190</v>
      </c>
    </row>
    <row r="17" spans="1:7" ht="21" hidden="1" customHeight="1" x14ac:dyDescent="0.25">
      <c r="A17" s="63">
        <v>8</v>
      </c>
      <c r="B17" s="59" t="s">
        <v>50</v>
      </c>
      <c r="C17" s="58" t="s">
        <v>184</v>
      </c>
      <c r="D17" s="359"/>
      <c r="E17" s="62">
        <v>0</v>
      </c>
      <c r="F17" s="109">
        <v>0</v>
      </c>
      <c r="G17" s="56" t="s">
        <v>190</v>
      </c>
    </row>
    <row r="18" spans="1:7" s="61" customFormat="1" ht="21" customHeight="1" x14ac:dyDescent="0.25">
      <c r="A18" s="340" t="s">
        <v>144</v>
      </c>
      <c r="B18" s="341"/>
      <c r="C18" s="342"/>
      <c r="D18" s="359"/>
      <c r="E18" s="59">
        <f>E15+E16+E17</f>
        <v>0</v>
      </c>
      <c r="F18" s="63">
        <v>0</v>
      </c>
      <c r="G18" s="56" t="s">
        <v>190</v>
      </c>
    </row>
    <row r="19" spans="1:7" ht="21" hidden="1" customHeight="1" x14ac:dyDescent="0.25">
      <c r="A19" s="277" t="s">
        <v>185</v>
      </c>
      <c r="B19" s="58" t="s">
        <v>57</v>
      </c>
      <c r="C19" s="58" t="s">
        <v>186</v>
      </c>
      <c r="D19" s="359"/>
      <c r="E19" s="62">
        <v>0</v>
      </c>
      <c r="F19" s="109">
        <v>0</v>
      </c>
      <c r="G19" s="56" t="s">
        <v>190</v>
      </c>
    </row>
    <row r="20" spans="1:7" ht="21" hidden="1" customHeight="1" x14ac:dyDescent="0.25">
      <c r="A20" s="356"/>
      <c r="B20" s="58" t="s">
        <v>27</v>
      </c>
      <c r="C20" s="58" t="s">
        <v>187</v>
      </c>
      <c r="D20" s="359"/>
      <c r="E20" s="62">
        <v>0</v>
      </c>
      <c r="F20" s="66">
        <v>0</v>
      </c>
      <c r="G20" s="56" t="s">
        <v>190</v>
      </c>
    </row>
    <row r="21" spans="1:7" ht="21" customHeight="1" x14ac:dyDescent="0.25">
      <c r="A21" s="92"/>
      <c r="B21" s="58" t="s">
        <v>60</v>
      </c>
      <c r="C21" s="58" t="s">
        <v>61</v>
      </c>
      <c r="D21" s="359"/>
      <c r="E21" s="62">
        <v>52</v>
      </c>
      <c r="F21" s="109">
        <v>0</v>
      </c>
      <c r="G21" s="56">
        <v>0</v>
      </c>
    </row>
    <row r="22" spans="1:7" s="61" customFormat="1" ht="21" customHeight="1" x14ac:dyDescent="0.25">
      <c r="A22" s="340" t="s">
        <v>147</v>
      </c>
      <c r="B22" s="341"/>
      <c r="C22" s="342"/>
      <c r="D22" s="359"/>
      <c r="E22" s="59">
        <f>SUM(E19:E21)</f>
        <v>52</v>
      </c>
      <c r="F22" s="63">
        <v>0</v>
      </c>
      <c r="G22" s="56">
        <v>0</v>
      </c>
    </row>
    <row r="23" spans="1:7" ht="21" hidden="1" customHeight="1" x14ac:dyDescent="0.25">
      <c r="A23" s="340">
        <v>12</v>
      </c>
      <c r="B23" s="341"/>
      <c r="C23" s="342"/>
      <c r="D23" s="359"/>
      <c r="E23" s="62">
        <v>0</v>
      </c>
      <c r="F23" s="103">
        <v>0</v>
      </c>
      <c r="G23" s="56" t="s">
        <v>190</v>
      </c>
    </row>
    <row r="24" spans="1:7" ht="21" hidden="1" customHeight="1" x14ac:dyDescent="0.25">
      <c r="A24" s="340">
        <v>13</v>
      </c>
      <c r="B24" s="341"/>
      <c r="C24" s="342"/>
      <c r="D24" s="359"/>
      <c r="E24" s="62">
        <v>0</v>
      </c>
      <c r="F24" s="109">
        <v>0</v>
      </c>
      <c r="G24" s="56" t="s">
        <v>190</v>
      </c>
    </row>
    <row r="25" spans="1:7" ht="21" hidden="1" customHeight="1" x14ac:dyDescent="0.25">
      <c r="A25" s="340">
        <v>14</v>
      </c>
      <c r="B25" s="341"/>
      <c r="C25" s="342"/>
      <c r="D25" s="359"/>
      <c r="E25" s="62">
        <v>0</v>
      </c>
      <c r="F25" s="109">
        <v>0</v>
      </c>
      <c r="G25" s="56" t="s">
        <v>190</v>
      </c>
    </row>
    <row r="26" spans="1:7" ht="21" hidden="1" customHeight="1" x14ac:dyDescent="0.25">
      <c r="A26" s="340">
        <v>15</v>
      </c>
      <c r="B26" s="341"/>
      <c r="C26" s="342"/>
      <c r="D26" s="359"/>
      <c r="E26" s="62">
        <v>0</v>
      </c>
      <c r="F26" s="109">
        <v>0</v>
      </c>
      <c r="G26" s="56" t="s">
        <v>190</v>
      </c>
    </row>
    <row r="27" spans="1:7" s="61" customFormat="1" ht="21" customHeight="1" x14ac:dyDescent="0.25">
      <c r="A27" s="340" t="s">
        <v>151</v>
      </c>
      <c r="B27" s="341"/>
      <c r="C27" s="342"/>
      <c r="D27" s="359"/>
      <c r="E27" s="59">
        <f>E23+E24+E25+E26</f>
        <v>0</v>
      </c>
      <c r="F27" s="63">
        <v>0</v>
      </c>
      <c r="G27" s="56" t="s">
        <v>190</v>
      </c>
    </row>
    <row r="28" spans="1:7" ht="21" hidden="1" customHeight="1" x14ac:dyDescent="0.25">
      <c r="A28" s="340">
        <v>16</v>
      </c>
      <c r="B28" s="341"/>
      <c r="C28" s="342"/>
      <c r="D28" s="359"/>
      <c r="E28" s="62">
        <v>0</v>
      </c>
      <c r="F28" s="109">
        <v>0</v>
      </c>
      <c r="G28" s="56" t="s">
        <v>190</v>
      </c>
    </row>
    <row r="29" spans="1:7" ht="21" hidden="1" customHeight="1" x14ac:dyDescent="0.25">
      <c r="A29" s="340">
        <v>17</v>
      </c>
      <c r="B29" s="341"/>
      <c r="C29" s="342"/>
      <c r="D29" s="359"/>
      <c r="E29" s="62">
        <v>0</v>
      </c>
      <c r="F29" s="109">
        <v>0</v>
      </c>
      <c r="G29" s="56" t="s">
        <v>190</v>
      </c>
    </row>
    <row r="30" spans="1:7" s="61" customFormat="1" ht="21" customHeight="1" x14ac:dyDescent="0.25">
      <c r="A30" s="340" t="s">
        <v>155</v>
      </c>
      <c r="B30" s="341"/>
      <c r="C30" s="342"/>
      <c r="D30" s="359"/>
      <c r="E30" s="59">
        <f>E28+E29</f>
        <v>0</v>
      </c>
      <c r="F30" s="63">
        <v>0</v>
      </c>
      <c r="G30" s="56" t="s">
        <v>190</v>
      </c>
    </row>
    <row r="31" spans="1:7" ht="21" hidden="1" customHeight="1" x14ac:dyDescent="0.25">
      <c r="A31" s="340">
        <v>18</v>
      </c>
      <c r="B31" s="341"/>
      <c r="C31" s="342"/>
      <c r="D31" s="359"/>
      <c r="E31" s="62">
        <v>0</v>
      </c>
      <c r="F31" s="109">
        <v>0</v>
      </c>
      <c r="G31" s="56" t="s">
        <v>190</v>
      </c>
    </row>
    <row r="32" spans="1:7" ht="21" hidden="1" customHeight="1" x14ac:dyDescent="0.25">
      <c r="A32" s="340">
        <v>19</v>
      </c>
      <c r="B32" s="341"/>
      <c r="C32" s="342"/>
      <c r="D32" s="359"/>
      <c r="E32" s="62">
        <v>0</v>
      </c>
      <c r="F32" s="109">
        <v>0</v>
      </c>
      <c r="G32" s="56" t="s">
        <v>190</v>
      </c>
    </row>
    <row r="33" spans="1:7" s="61" customFormat="1" ht="21" customHeight="1" x14ac:dyDescent="0.25">
      <c r="A33" s="340" t="s">
        <v>158</v>
      </c>
      <c r="B33" s="341"/>
      <c r="C33" s="342"/>
      <c r="D33" s="359"/>
      <c r="E33" s="59">
        <f>E31+E32</f>
        <v>0</v>
      </c>
      <c r="F33" s="63">
        <v>0</v>
      </c>
      <c r="G33" s="56" t="s">
        <v>190</v>
      </c>
    </row>
    <row r="34" spans="1:7" s="61" customFormat="1" ht="21" customHeight="1" x14ac:dyDescent="0.25">
      <c r="A34" s="63" t="s">
        <v>81</v>
      </c>
      <c r="B34" s="58" t="s">
        <v>27</v>
      </c>
      <c r="C34" s="133" t="s">
        <v>159</v>
      </c>
      <c r="D34" s="359"/>
      <c r="E34" s="62">
        <v>25</v>
      </c>
      <c r="F34" s="66">
        <v>0</v>
      </c>
      <c r="G34" s="56">
        <v>0</v>
      </c>
    </row>
    <row r="35" spans="1:7" s="61" customFormat="1" ht="21" customHeight="1" x14ac:dyDescent="0.25">
      <c r="A35" s="340" t="s">
        <v>160</v>
      </c>
      <c r="B35" s="341"/>
      <c r="C35" s="342"/>
      <c r="D35" s="359"/>
      <c r="E35" s="59">
        <f>E34</f>
        <v>25</v>
      </c>
      <c r="F35" s="63">
        <v>0</v>
      </c>
      <c r="G35" s="56">
        <v>0</v>
      </c>
    </row>
    <row r="36" spans="1:7" s="61" customFormat="1" ht="21" customHeight="1" x14ac:dyDescent="0.25">
      <c r="A36" s="337" t="s">
        <v>188</v>
      </c>
      <c r="B36" s="357" t="s">
        <v>189</v>
      </c>
      <c r="C36" s="133" t="s">
        <v>166</v>
      </c>
      <c r="D36" s="359"/>
      <c r="E36" s="283">
        <v>1400</v>
      </c>
      <c r="F36" s="66">
        <v>1200</v>
      </c>
      <c r="G36" s="194" t="s">
        <v>190</v>
      </c>
    </row>
    <row r="37" spans="1:7" s="61" customFormat="1" ht="21" customHeight="1" x14ac:dyDescent="0.25">
      <c r="A37" s="348"/>
      <c r="B37" s="358"/>
      <c r="C37" s="133" t="s">
        <v>167</v>
      </c>
      <c r="D37" s="359"/>
      <c r="E37" s="346"/>
      <c r="F37" s="66">
        <v>1601.89</v>
      </c>
      <c r="G37" s="194" t="s">
        <v>190</v>
      </c>
    </row>
    <row r="38" spans="1:7" s="61" customFormat="1" ht="21" customHeight="1" x14ac:dyDescent="0.25">
      <c r="A38" s="348"/>
      <c r="B38" s="353" t="s">
        <v>162</v>
      </c>
      <c r="C38" s="133" t="s">
        <v>163</v>
      </c>
      <c r="D38" s="359"/>
      <c r="E38" s="346"/>
      <c r="F38" s="202">
        <v>500.71</v>
      </c>
      <c r="G38" s="194"/>
    </row>
    <row r="39" spans="1:7" s="61" customFormat="1" ht="21" customHeight="1" x14ac:dyDescent="0.25">
      <c r="A39" s="348"/>
      <c r="B39" s="354"/>
      <c r="C39" s="133" t="s">
        <v>164</v>
      </c>
      <c r="D39" s="359"/>
      <c r="E39" s="346"/>
      <c r="F39" s="66">
        <v>1764.35</v>
      </c>
      <c r="G39" s="194" t="s">
        <v>190</v>
      </c>
    </row>
    <row r="40" spans="1:7" s="61" customFormat="1" ht="21" customHeight="1" x14ac:dyDescent="0.25">
      <c r="A40" s="349"/>
      <c r="B40" s="192" t="s">
        <v>195</v>
      </c>
      <c r="C40" s="133" t="s">
        <v>196</v>
      </c>
      <c r="D40" s="359"/>
      <c r="E40" s="346"/>
      <c r="F40" s="66"/>
      <c r="G40" s="194"/>
    </row>
    <row r="41" spans="1:7" s="61" customFormat="1" ht="21" hidden="1" customHeight="1" x14ac:dyDescent="0.25">
      <c r="A41" s="343" t="s">
        <v>168</v>
      </c>
      <c r="B41" s="344"/>
      <c r="C41" s="345"/>
      <c r="D41" s="359"/>
      <c r="E41" s="347"/>
      <c r="F41" s="66">
        <v>0</v>
      </c>
      <c r="G41" s="56">
        <v>0</v>
      </c>
    </row>
    <row r="42" spans="1:7" s="61" customFormat="1" ht="21" customHeight="1" x14ac:dyDescent="0.25">
      <c r="A42" s="337" t="s">
        <v>191</v>
      </c>
      <c r="B42" s="338"/>
      <c r="C42" s="339"/>
      <c r="D42" s="359"/>
      <c r="E42" s="59">
        <f>E36</f>
        <v>1400</v>
      </c>
      <c r="F42" s="63">
        <v>5067.34</v>
      </c>
      <c r="G42" s="56">
        <v>3.6195285714285714</v>
      </c>
    </row>
    <row r="43" spans="1:7" ht="21" hidden="1" customHeight="1" x14ac:dyDescent="0.25">
      <c r="A43" s="277" t="s">
        <v>84</v>
      </c>
      <c r="B43" s="64" t="s">
        <v>85</v>
      </c>
      <c r="C43" s="64" t="s">
        <v>170</v>
      </c>
      <c r="D43" s="359"/>
      <c r="E43" s="62">
        <v>0</v>
      </c>
      <c r="F43" s="109">
        <v>0</v>
      </c>
      <c r="G43" s="56" t="s">
        <v>190</v>
      </c>
    </row>
    <row r="44" spans="1:7" s="61" customFormat="1" ht="21" hidden="1" customHeight="1" x14ac:dyDescent="0.25">
      <c r="A44" s="356"/>
      <c r="B44" s="58" t="s">
        <v>60</v>
      </c>
      <c r="C44" s="64" t="s">
        <v>192</v>
      </c>
      <c r="D44" s="359"/>
      <c r="E44" s="62">
        <v>0</v>
      </c>
      <c r="F44" s="63">
        <v>0</v>
      </c>
      <c r="G44" s="56" t="s">
        <v>190</v>
      </c>
    </row>
    <row r="45" spans="1:7" ht="21" customHeight="1" x14ac:dyDescent="0.25">
      <c r="A45" s="340" t="s">
        <v>172</v>
      </c>
      <c r="B45" s="341"/>
      <c r="C45" s="342"/>
      <c r="D45" s="359"/>
      <c r="E45" s="59">
        <f>E43+E44</f>
        <v>0</v>
      </c>
      <c r="F45" s="63">
        <v>0</v>
      </c>
      <c r="G45" s="56" t="s">
        <v>190</v>
      </c>
    </row>
    <row r="46" spans="1:7" s="61" customFormat="1" ht="21" hidden="1" customHeight="1" x14ac:dyDescent="0.25">
      <c r="A46" s="340" t="s">
        <v>193</v>
      </c>
      <c r="B46" s="341"/>
      <c r="C46" s="342"/>
      <c r="D46" s="359"/>
      <c r="E46" s="62">
        <v>0</v>
      </c>
      <c r="F46" s="63">
        <v>0</v>
      </c>
      <c r="G46" s="56" t="s">
        <v>190</v>
      </c>
    </row>
    <row r="47" spans="1:7" s="55" customFormat="1" ht="21" customHeight="1" x14ac:dyDescent="0.25">
      <c r="A47" s="340" t="s">
        <v>173</v>
      </c>
      <c r="B47" s="341"/>
      <c r="C47" s="342"/>
      <c r="D47" s="359"/>
      <c r="E47" s="59">
        <f>E46</f>
        <v>0</v>
      </c>
      <c r="F47" s="63">
        <v>0</v>
      </c>
      <c r="G47" s="56" t="s">
        <v>190</v>
      </c>
    </row>
    <row r="48" spans="1:7" ht="21" customHeight="1" thickBot="1" x14ac:dyDescent="0.3">
      <c r="A48" s="350" t="s">
        <v>194</v>
      </c>
      <c r="B48" s="351"/>
      <c r="C48" s="352"/>
      <c r="D48" s="360"/>
      <c r="E48" s="54">
        <f>E47+E45++E42+E33+E30+E27+E22+E18+E14+E11+E9+E35</f>
        <v>1642</v>
      </c>
      <c r="F48" s="82">
        <v>5263.1900000000005</v>
      </c>
      <c r="G48" s="140">
        <v>3.2053532277710111</v>
      </c>
    </row>
  </sheetData>
  <mergeCells count="35">
    <mergeCell ref="A31:C31"/>
    <mergeCell ref="A11:C11"/>
    <mergeCell ref="A14:C14"/>
    <mergeCell ref="A18:C18"/>
    <mergeCell ref="D7:D48"/>
    <mergeCell ref="A25:C25"/>
    <mergeCell ref="A26:C26"/>
    <mergeCell ref="A46:C46"/>
    <mergeCell ref="A45:C45"/>
    <mergeCell ref="A29:C29"/>
    <mergeCell ref="A30:C30"/>
    <mergeCell ref="A43:A44"/>
    <mergeCell ref="A35:C35"/>
    <mergeCell ref="A48:C48"/>
    <mergeCell ref="B38:B39"/>
    <mergeCell ref="A7:A8"/>
    <mergeCell ref="A27:C27"/>
    <mergeCell ref="A28:C28"/>
    <mergeCell ref="A32:C32"/>
    <mergeCell ref="A33:C33"/>
    <mergeCell ref="A9:C9"/>
    <mergeCell ref="A19:A20"/>
    <mergeCell ref="A22:C22"/>
    <mergeCell ref="A23:C23"/>
    <mergeCell ref="A24:C24"/>
    <mergeCell ref="B36:B37"/>
    <mergeCell ref="A42:C42"/>
    <mergeCell ref="A47:C47"/>
    <mergeCell ref="A41:C41"/>
    <mergeCell ref="E36:E41"/>
    <mergeCell ref="A36:A40"/>
    <mergeCell ref="A2:G2"/>
    <mergeCell ref="A3:G3"/>
    <mergeCell ref="A4:G4"/>
    <mergeCell ref="F5:G5"/>
  </mergeCells>
  <printOptions horizontalCentered="1"/>
  <pageMargins left="0.23622047244094491" right="0.23622047244094491" top="0.47244094488188981" bottom="0.4330708661417322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Annexure-V-Production </vt:lpstr>
      <vt:lpstr>Annexure-III-Expl. Drl</vt:lpstr>
      <vt:lpstr>Annexure-IV-Dev. Drl</vt:lpstr>
      <vt:lpstr>Annexure-I-2D</vt:lpstr>
      <vt:lpstr>Annexure-II-3D</vt:lpstr>
      <vt:lpstr>'Annexure-I-2D'!Print_Area</vt:lpstr>
      <vt:lpstr>'Annexure-II-3D'!Print_Area</vt:lpstr>
      <vt:lpstr>'Annexure-III-Expl. Drl'!Print_Area</vt:lpstr>
      <vt:lpstr>'Annexure-IV-Dev. Drl'!Print_Area</vt:lpstr>
      <vt:lpstr>'Annexure-V-Production '!Print_Area</vt:lpstr>
      <vt:lpstr>'Annexure-I-2D'!Print_Titles</vt:lpstr>
      <vt:lpstr>'Annexure-II-3D'!Print_Titles</vt:lpstr>
      <vt:lpstr>'Annexure-III-Expl. Drl'!Print_Titles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 Kumar Ignatius Pudota ( रवि कुमार इग्नाटियस पुडोटा )</dc:creator>
  <cp:keywords/>
  <dc:description/>
  <cp:lastModifiedBy>Ravi Kumar Ignatius Pudota ( रवि कुमार इग्नाटियस पुडोट</cp:lastModifiedBy>
  <cp:revision/>
  <cp:lastPrinted>2026-04-11T10:39:45Z</cp:lastPrinted>
  <dcterms:created xsi:type="dcterms:W3CDTF">2025-05-08T09:01:24Z</dcterms:created>
  <dcterms:modified xsi:type="dcterms:W3CDTF">2026-05-15T06:18:49Z</dcterms:modified>
  <cp:category/>
  <cp:contentStatus/>
</cp:coreProperties>
</file>