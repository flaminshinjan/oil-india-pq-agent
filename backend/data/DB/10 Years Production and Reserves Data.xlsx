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lindia-my.sharepoint.com/personal/ravi_kumar_oilindia_in/Documents/Documents/"/>
    </mc:Choice>
  </mc:AlternateContent>
  <xr:revisionPtr revIDLastSave="45" documentId="8_{286413FD-FF9A-4E18-97E6-C50CC15D6AEF}" xr6:coauthVersionLast="47" xr6:coauthVersionMax="47" xr10:uidLastSave="{4B2B0AED-DE25-482F-8782-64F11FDEBB03}"/>
  <bookViews>
    <workbookView xWindow="-120" yWindow="-120" windowWidth="29040" windowHeight="15720" xr2:uid="{41E0E67E-88AE-4E66-A9F1-B1322E027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11" i="1"/>
  <c r="O10" i="1"/>
  <c r="O9" i="1"/>
  <c r="O8" i="1"/>
  <c r="O7" i="1"/>
  <c r="O6" i="1"/>
  <c r="O5" i="1"/>
  <c r="O4" i="1"/>
  <c r="K12" i="1"/>
  <c r="K11" i="1"/>
  <c r="K10" i="1"/>
  <c r="K9" i="1"/>
  <c r="K8" i="1"/>
  <c r="K7" i="1"/>
  <c r="K6" i="1"/>
  <c r="K5" i="1"/>
  <c r="K4" i="1"/>
  <c r="M13" i="1"/>
  <c r="M12" i="1"/>
  <c r="M11" i="1"/>
  <c r="M10" i="1"/>
  <c r="M9" i="1"/>
  <c r="M8" i="1"/>
  <c r="M7" i="1"/>
  <c r="M6" i="1"/>
  <c r="M5" i="1"/>
  <c r="M4" i="1"/>
  <c r="E13" i="1"/>
  <c r="C13" i="1"/>
  <c r="I12" i="1"/>
  <c r="I11" i="1"/>
  <c r="I10" i="1"/>
  <c r="I9" i="1"/>
  <c r="I8" i="1"/>
  <c r="I7" i="1"/>
  <c r="I6" i="1"/>
  <c r="I5" i="1"/>
  <c r="I4" i="1"/>
  <c r="G12" i="1"/>
  <c r="G11" i="1"/>
  <c r="G10" i="1"/>
  <c r="G9" i="1"/>
  <c r="G8" i="1"/>
  <c r="G7" i="1"/>
  <c r="G6" i="1"/>
  <c r="G5" i="1"/>
  <c r="G4" i="1"/>
  <c r="E12" i="1"/>
  <c r="E11" i="1"/>
  <c r="E10" i="1"/>
  <c r="E9" i="1"/>
  <c r="E8" i="1"/>
  <c r="E7" i="1"/>
  <c r="E6" i="1"/>
  <c r="E5" i="1"/>
  <c r="E4" i="1"/>
  <c r="C5" i="1"/>
  <c r="C6" i="1"/>
  <c r="C7" i="1"/>
  <c r="C8" i="1"/>
  <c r="C9" i="1"/>
  <c r="C10" i="1"/>
  <c r="C11" i="1"/>
  <c r="C12" i="1"/>
  <c r="C4" i="1"/>
</calcChain>
</file>

<file path=xl/sharedStrings.xml><?xml version="1.0" encoding="utf-8"?>
<sst xmlns="http://schemas.openxmlformats.org/spreadsheetml/2006/main" count="29" uniqueCount="23">
  <si>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</si>
  <si>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</si>
  <si>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</si>
  <si>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</si>
  <si>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</si>
  <si>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</si>
  <si>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</si>
  <si>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</si>
  <si>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</si>
  <si>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</si>
  <si>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YoY Change %</t>
  </si>
  <si>
    <t>Reserve Accerage</t>
  </si>
  <si>
    <t>MMT</t>
  </si>
  <si>
    <t>MMSCM</t>
  </si>
  <si>
    <t>BCM</t>
  </si>
  <si>
    <t>2025-26</t>
  </si>
  <si>
    <t>MMToE</t>
  </si>
  <si>
    <t>Crude Oil Production</t>
  </si>
  <si>
    <t>Natural Gas Production</t>
  </si>
  <si>
    <t>2P Oil Reserves</t>
  </si>
  <si>
    <t>2P Remaining Recoverable Gas</t>
  </si>
  <si>
    <t>2P Remaining Recoverable</t>
  </si>
  <si>
    <t>RRR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</si>
</sst>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CA30-521F-4F44-ABFD-292A3EB61DDB}">
  <dimension ref="A1:O13"/>
  <sheetViews>
    <sheetView tabSelected="1" workbookViewId="0">
      <selection activeCell="J21" sqref="J21"/>
    </sheetView>
  </sheetViews>
  <sheetFormatPr defaultRowHeight="15" x14ac:dyDescent="0.25"/>
  <cols>
    <col min="2" max="13" width="15.7109375" customWidth="1"/>
  </cols>
  <sheetData>
    <row r="1" spans="1:15" ht="30" x14ac:dyDescent="0.25">
      <c r="A1" s="1"/>
      <c r="B1" s="3" t="s">
        <v>17</v>
      </c>
      <c r="C1" s="3" t="s">
        <v>10</v>
      </c>
      <c r="D1" s="3" t="s">
        <v>18</v>
      </c>
      <c r="E1" s="3" t="s">
        <v>10</v>
      </c>
      <c r="F1" s="3" t="s">
        <v>19</v>
      </c>
      <c r="G1" s="3" t="s">
        <v>10</v>
      </c>
      <c r="H1" s="3" t="s">
        <v>20</v>
      </c>
      <c r="I1" s="3" t="s">
        <v>10</v>
      </c>
      <c r="J1" s="3" t="s">
        <v>21</v>
      </c>
      <c r="K1" s="3" t="s">
        <v>10</v>
      </c>
      <c r="L1" s="3" t="s">
        <v>11</v>
      </c>
      <c r="M1" s="3" t="s">
        <v>10</v>
      </c>
      <c r="N1" s="9" t="s">
        <v>22</v>
      </c>
    </row>
    <row r="2" spans="1:15" x14ac:dyDescent="0.25">
      <c r="A2" s="1"/>
      <c r="B2" s="3" t="s">
        <v>12</v>
      </c>
      <c r="C2" s="3"/>
      <c r="D2" s="3" t="s">
        <v>13</v>
      </c>
      <c r="E2" s="3"/>
      <c r="F2" s="3" t="s">
        <v>12</v>
      </c>
      <c r="G2" s="3"/>
      <c r="H2" s="3" t="s">
        <v>14</v>
      </c>
      <c r="I2" s="3"/>
      <c r="J2" s="3"/>
      <c r="K2" s="3"/>
      <c r="L2" s="3" t="s">
        <v>16</v>
      </c>
      <c r="M2" s="1"/>
    </row>
    <row r="3" spans="1:15" x14ac:dyDescent="0.25">
      <c r="A3" s="1" t="s">
        <v>0</v>
      </c>
      <c r="B3" s="4">
        <v>3.25</v>
      </c>
      <c r="C3" s="4"/>
      <c r="D3" s="4">
        <v>2838</v>
      </c>
      <c r="E3" s="4"/>
      <c r="F3" s="2">
        <v>80.739999999999995</v>
      </c>
      <c r="G3" s="4"/>
      <c r="H3" s="2">
        <v>121.13</v>
      </c>
      <c r="I3" s="4"/>
      <c r="J3" s="4"/>
      <c r="K3" s="4"/>
      <c r="L3" s="2">
        <v>7.21</v>
      </c>
      <c r="M3" s="4"/>
    </row>
    <row r="4" spans="1:15" x14ac:dyDescent="0.25">
      <c r="A4" s="1" t="s">
        <v>1</v>
      </c>
      <c r="B4" s="4">
        <v>3.28</v>
      </c>
      <c r="C4" s="5">
        <f>B4/B3-1</f>
        <v>9.2307692307691536E-3</v>
      </c>
      <c r="D4" s="4">
        <v>2937</v>
      </c>
      <c r="E4" s="5">
        <f>D4/D3-1</f>
        <v>3.488372093023262E-2</v>
      </c>
      <c r="F4" s="2">
        <v>78.849999999999994</v>
      </c>
      <c r="G4" s="5">
        <f>F4/F3-1</f>
        <v>-2.3408471637354489E-2</v>
      </c>
      <c r="H4" s="2">
        <v>125.33</v>
      </c>
      <c r="I4" s="5">
        <f>H4/H3-1</f>
        <v>3.4673491290349245E-2</v>
      </c>
      <c r="J4" s="5"/>
      <c r="K4" s="5" t="e">
        <f>J4/J3-1</f>
        <v>#DIV/0!</v>
      </c>
      <c r="L4" s="2">
        <v>7.55</v>
      </c>
      <c r="M4" s="5">
        <f>L4/L3-1</f>
        <v>4.7156726768377233E-2</v>
      </c>
      <c r="O4" s="5" t="e">
        <f>N4/N3-1</f>
        <v>#DIV/0!</v>
      </c>
    </row>
    <row r="5" spans="1:15" x14ac:dyDescent="0.25">
      <c r="A5" s="1" t="s">
        <v>2</v>
      </c>
      <c r="B5" s="4">
        <v>3.39</v>
      </c>
      <c r="C5" s="5">
        <f t="shared" ref="C5:E13" si="0">B5/B4-1</f>
        <v>3.3536585365853799E-2</v>
      </c>
      <c r="D5" s="4">
        <v>2905</v>
      </c>
      <c r="E5" s="5">
        <f t="shared" si="0"/>
        <v>-1.089547156962889E-2</v>
      </c>
      <c r="F5" s="2">
        <v>78.67</v>
      </c>
      <c r="G5" s="5">
        <f t="shared" ref="G5:O5" si="1">F5/F4-1</f>
        <v>-2.2828154724159333E-3</v>
      </c>
      <c r="H5" s="2">
        <v>127.59</v>
      </c>
      <c r="I5" s="5">
        <f t="shared" si="1"/>
        <v>1.8032394478576519E-2</v>
      </c>
      <c r="J5" s="5"/>
      <c r="K5" s="5" t="e">
        <f t="shared" si="1"/>
        <v>#DIV/0!</v>
      </c>
      <c r="L5" s="2">
        <v>7.83</v>
      </c>
      <c r="M5" s="5">
        <f t="shared" si="1"/>
        <v>3.7086092715231889E-2</v>
      </c>
      <c r="O5" s="5" t="e">
        <f t="shared" si="1"/>
        <v>#DIV/0!</v>
      </c>
    </row>
    <row r="6" spans="1:15" x14ac:dyDescent="0.25">
      <c r="A6" s="1" t="s">
        <v>3</v>
      </c>
      <c r="B6" s="4">
        <v>3.32</v>
      </c>
      <c r="C6" s="5">
        <f t="shared" si="0"/>
        <v>-2.0648967551622488E-2</v>
      </c>
      <c r="D6" s="4">
        <v>2865</v>
      </c>
      <c r="E6" s="5">
        <f t="shared" si="0"/>
        <v>-1.3769363166953541E-2</v>
      </c>
      <c r="F6" s="2">
        <v>76.19</v>
      </c>
      <c r="G6" s="5">
        <f t="shared" ref="G6:O6" si="2">F6/F5-1</f>
        <v>-3.1524087962374492E-2</v>
      </c>
      <c r="H6" s="2">
        <v>130.22999999999999</v>
      </c>
      <c r="I6" s="5">
        <f t="shared" si="2"/>
        <v>2.069127674582627E-2</v>
      </c>
      <c r="J6" s="5"/>
      <c r="K6" s="5" t="e">
        <f t="shared" si="2"/>
        <v>#DIV/0!</v>
      </c>
      <c r="L6" s="2">
        <v>6.36</v>
      </c>
      <c r="M6" s="5">
        <f t="shared" si="2"/>
        <v>-0.18773946360153249</v>
      </c>
      <c r="O6" s="5" t="e">
        <f t="shared" si="2"/>
        <v>#DIV/0!</v>
      </c>
    </row>
    <row r="7" spans="1:15" ht="15.75" thickBot="1" x14ac:dyDescent="0.3">
      <c r="A7" s="1" t="s">
        <v>4</v>
      </c>
      <c r="B7" s="4">
        <v>3.13</v>
      </c>
      <c r="C7" s="5">
        <f t="shared" si="0"/>
        <v>-5.7228915662650537E-2</v>
      </c>
      <c r="D7" s="4">
        <v>2801</v>
      </c>
      <c r="E7" s="5">
        <f t="shared" si="0"/>
        <v>-2.2338568935427627E-2</v>
      </c>
      <c r="F7" s="2">
        <v>74.69</v>
      </c>
      <c r="G7" s="5">
        <f t="shared" ref="G7:O7" si="3">F7/F6-1</f>
        <v>-1.9687623047644043E-2</v>
      </c>
      <c r="H7" s="2">
        <v>132.26</v>
      </c>
      <c r="I7" s="5">
        <f t="shared" si="3"/>
        <v>1.5587806189050202E-2</v>
      </c>
      <c r="J7" s="5"/>
      <c r="K7" s="5" t="e">
        <f t="shared" si="3"/>
        <v>#DIV/0!</v>
      </c>
      <c r="L7" s="2">
        <v>6.26</v>
      </c>
      <c r="M7" s="5">
        <f t="shared" si="3"/>
        <v>-1.572327044025168E-2</v>
      </c>
      <c r="O7" s="5" t="e">
        <f t="shared" si="3"/>
        <v>#DIV/0!</v>
      </c>
    </row>
    <row r="8" spans="1:15" ht="15.75" thickBot="1" x14ac:dyDescent="0.3">
      <c r="A8" s="1" t="s">
        <v>5</v>
      </c>
      <c r="B8" s="4">
        <v>2.96</v>
      </c>
      <c r="C8" s="5">
        <f t="shared" si="0"/>
        <v>-5.4313099041533475E-2</v>
      </c>
      <c r="D8" s="4">
        <v>2642</v>
      </c>
      <c r="E8" s="5">
        <f t="shared" si="0"/>
        <v>-5.6765440913959297E-2</v>
      </c>
      <c r="F8" s="2">
        <v>73.63</v>
      </c>
      <c r="G8" s="5">
        <f t="shared" ref="G8:O8" si="4">F8/F7-1</f>
        <v>-1.4191993573436923E-2</v>
      </c>
      <c r="H8" s="2">
        <v>134.4</v>
      </c>
      <c r="I8" s="5">
        <f t="shared" si="4"/>
        <v>1.6180251020716963E-2</v>
      </c>
      <c r="J8" s="2">
        <v>190.84</v>
      </c>
      <c r="K8" s="5" t="e">
        <f t="shared" si="4"/>
        <v>#DIV/0!</v>
      </c>
      <c r="L8" s="2">
        <v>6.03</v>
      </c>
      <c r="M8" s="5">
        <f t="shared" si="4"/>
        <v>-3.6741214057507965E-2</v>
      </c>
      <c r="N8" s="7">
        <v>1.1599999999999999</v>
      </c>
      <c r="O8" s="5" t="e">
        <f t="shared" si="4"/>
        <v>#DIV/0!</v>
      </c>
    </row>
    <row r="9" spans="1:15" ht="15.75" thickBot="1" x14ac:dyDescent="0.3">
      <c r="A9" s="1" t="s">
        <v>6</v>
      </c>
      <c r="B9" s="4">
        <v>3.01</v>
      </c>
      <c r="C9" s="5">
        <f t="shared" si="0"/>
        <v>1.6891891891891886E-2</v>
      </c>
      <c r="D9" s="4">
        <v>3045</v>
      </c>
      <c r="E9" s="5">
        <f t="shared" si="0"/>
        <v>0.15253595760787286</v>
      </c>
      <c r="F9" s="2">
        <v>70.86</v>
      </c>
      <c r="G9" s="5">
        <f t="shared" ref="G9:O9" si="5">F9/F8-1</f>
        <v>-3.7620535107972253E-2</v>
      </c>
      <c r="H9" s="2">
        <v>138.31</v>
      </c>
      <c r="I9" s="5">
        <f t="shared" si="5"/>
        <v>2.9092261904761774E-2</v>
      </c>
      <c r="J9" s="2">
        <v>191.31</v>
      </c>
      <c r="K9" s="5">
        <f t="shared" si="5"/>
        <v>2.4627960595262621E-3</v>
      </c>
      <c r="L9" s="2">
        <v>6.15</v>
      </c>
      <c r="M9" s="5">
        <f t="shared" si="5"/>
        <v>1.990049751243772E-2</v>
      </c>
      <c r="N9" s="8">
        <v>1.1100000000000001</v>
      </c>
      <c r="O9" s="5">
        <f t="shared" si="5"/>
        <v>-4.3103448275861878E-2</v>
      </c>
    </row>
    <row r="10" spans="1:15" ht="15.75" thickBot="1" x14ac:dyDescent="0.3">
      <c r="A10" s="1" t="s">
        <v>7</v>
      </c>
      <c r="B10" s="4">
        <v>3.18</v>
      </c>
      <c r="C10" s="5">
        <f t="shared" si="0"/>
        <v>5.6478405315614655E-2</v>
      </c>
      <c r="D10" s="4">
        <v>3180</v>
      </c>
      <c r="E10" s="5">
        <f t="shared" si="0"/>
        <v>4.4334975369458185E-2</v>
      </c>
      <c r="F10" s="2">
        <v>70.56</v>
      </c>
      <c r="G10" s="5">
        <f t="shared" ref="G10:O10" si="6">F10/F9-1</f>
        <v>-4.2337002540219215E-3</v>
      </c>
      <c r="H10" s="2">
        <v>138.51</v>
      </c>
      <c r="I10" s="5">
        <f t="shared" si="6"/>
        <v>1.4460270407055109E-3</v>
      </c>
      <c r="J10" s="2">
        <v>191.09</v>
      </c>
      <c r="K10" s="5">
        <f t="shared" si="6"/>
        <v>-1.1499660237310749E-3</v>
      </c>
      <c r="L10" s="2">
        <v>5.95</v>
      </c>
      <c r="M10" s="5">
        <f t="shared" si="6"/>
        <v>-3.2520325203252098E-2</v>
      </c>
      <c r="N10" s="8">
        <v>1.01</v>
      </c>
      <c r="O10" s="5">
        <f t="shared" si="6"/>
        <v>-9.0090090090090169E-2</v>
      </c>
    </row>
    <row r="11" spans="1:15" ht="15.75" thickBot="1" x14ac:dyDescent="0.3">
      <c r="A11" s="1" t="s">
        <v>8</v>
      </c>
      <c r="B11" s="4">
        <v>3.36</v>
      </c>
      <c r="C11" s="5">
        <f t="shared" si="0"/>
        <v>5.6603773584905648E-2</v>
      </c>
      <c r="D11" s="4">
        <v>3182</v>
      </c>
      <c r="E11" s="5">
        <f t="shared" si="0"/>
        <v>6.2893081761017378E-4</v>
      </c>
      <c r="F11" s="2">
        <v>69.650000000000006</v>
      </c>
      <c r="G11" s="5">
        <f t="shared" ref="G11:O11" si="7">F11/F10-1</f>
        <v>-1.2896825396825351E-2</v>
      </c>
      <c r="H11" s="2">
        <v>139.21</v>
      </c>
      <c r="I11" s="5">
        <f t="shared" si="7"/>
        <v>5.0537867302000716E-3</v>
      </c>
      <c r="J11" s="2">
        <v>190.35</v>
      </c>
      <c r="K11" s="5">
        <f t="shared" si="7"/>
        <v>-3.8725208017165169E-3</v>
      </c>
      <c r="L11" s="2">
        <v>5.85</v>
      </c>
      <c r="M11" s="5">
        <f t="shared" si="7"/>
        <v>-1.6806722689075682E-2</v>
      </c>
      <c r="N11" s="8">
        <v>0.97</v>
      </c>
      <c r="O11" s="5">
        <f t="shared" si="7"/>
        <v>-3.9603960396039639E-2</v>
      </c>
    </row>
    <row r="12" spans="1:15" ht="15.75" thickBot="1" x14ac:dyDescent="0.3">
      <c r="A12" s="1" t="s">
        <v>9</v>
      </c>
      <c r="B12" s="4">
        <v>3.46</v>
      </c>
      <c r="C12" s="5">
        <f t="shared" si="0"/>
        <v>2.9761904761904878E-2</v>
      </c>
      <c r="D12" s="4">
        <v>3252</v>
      </c>
      <c r="E12" s="5">
        <f t="shared" si="0"/>
        <v>2.1998742928975412E-2</v>
      </c>
      <c r="F12" s="2">
        <v>69.39</v>
      </c>
      <c r="G12" s="5">
        <f t="shared" ref="G12:O13" si="8">F12/F11-1</f>
        <v>-3.7329504666189228E-3</v>
      </c>
      <c r="H12" s="2">
        <v>139.03</v>
      </c>
      <c r="I12" s="5">
        <f t="shared" si="8"/>
        <v>-1.2930105595863051E-3</v>
      </c>
      <c r="J12" s="2">
        <v>190.25</v>
      </c>
      <c r="K12" s="5">
        <f t="shared" si="8"/>
        <v>-5.2534804307846628E-4</v>
      </c>
      <c r="L12" s="2">
        <v>5.87</v>
      </c>
      <c r="M12" s="5">
        <f t="shared" si="8"/>
        <v>3.4188034188034067E-3</v>
      </c>
      <c r="N12" s="8">
        <v>0.94</v>
      </c>
      <c r="O12" s="5">
        <f t="shared" si="8"/>
        <v>-3.0927835051546393E-2</v>
      </c>
    </row>
    <row r="13" spans="1:15" x14ac:dyDescent="0.25">
      <c r="A13" s="1" t="s">
        <v>15</v>
      </c>
      <c r="B13" s="4">
        <v>3.45</v>
      </c>
      <c r="C13" s="5">
        <f t="shared" si="0"/>
        <v>-2.8901734104045396E-3</v>
      </c>
      <c r="D13" s="4">
        <v>3186</v>
      </c>
      <c r="E13" s="5">
        <f t="shared" si="0"/>
        <v>-2.0295202952029467E-2</v>
      </c>
      <c r="F13" s="1"/>
      <c r="G13" s="1"/>
      <c r="H13" s="1"/>
      <c r="I13" s="1"/>
      <c r="J13" s="1"/>
      <c r="K13" s="1"/>
      <c r="L13" s="6">
        <v>6.23</v>
      </c>
      <c r="M13" s="5">
        <f t="shared" si="8"/>
        <v>6.1328790459965976E-2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ca33e5-fdf5-4ecf-8b0f-957925caea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7D31CB1002442B456D759D9BAF844" ma:contentTypeVersion="17" ma:contentTypeDescription="Create a new document." ma:contentTypeScope="" ma:versionID="27108ac344d5bb0b021807c750e87f4f">
  <xsd:schema xmlns:xsd="http://www.w3.org/2001/XMLSchema" xmlns:xs="http://www.w3.org/2001/XMLSchema" xmlns:p="http://schemas.microsoft.com/office/2006/metadata/properties" xmlns:ns3="56ca33e5-fdf5-4ecf-8b0f-957925caeaf0" xmlns:ns4="1e9507ca-583c-4d3f-a372-6cd2f87d7751" targetNamespace="http://schemas.microsoft.com/office/2006/metadata/properties" ma:root="true" ma:fieldsID="83f73f26a860097a6dffed0e552786f5" ns3:_="" ns4:_="">
    <xsd:import namespace="56ca33e5-fdf5-4ecf-8b0f-957925caeaf0"/>
    <xsd:import namespace="1e9507ca-583c-4d3f-a372-6cd2f87d77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a33e5-fdf5-4ecf-8b0f-957925caea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507ca-583c-4d3f-a372-6cd2f87d7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D6CAED-D6E6-4F76-A26F-D81C97D4F7DB}">
  <ds:schemaRefs>
    <ds:schemaRef ds:uri="56ca33e5-fdf5-4ecf-8b0f-957925caeaf0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1e9507ca-583c-4d3f-a372-6cd2f87d7751"/>
  </ds:schemaRefs>
</ds:datastoreItem>
</file>

<file path=customXml/itemProps2.xml><?xml version="1.0" encoding="utf-8"?>
<ds:datastoreItem xmlns:ds="http://schemas.openxmlformats.org/officeDocument/2006/customXml" ds:itemID="{55A1334A-0F60-427C-8339-C891F53819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BA4CD1-BA93-47FA-9E90-6FA6BDE538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ca33e5-fdf5-4ecf-8b0f-957925caeaf0"/>
    <ds:schemaRef ds:uri="1e9507ca-583c-4d3f-a372-6cd2f87d77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Ignatius Pudota ( रवि कुमार इग्नाटियस पुडोटा )</dc:creator>
  <cp:lastModifiedBy>Ravi Kumar Ignatius Pudota ( रवि कुमार इग्नाटियस पुडोट</cp:lastModifiedBy>
  <dcterms:created xsi:type="dcterms:W3CDTF">2026-01-21T06:02:26Z</dcterms:created>
  <dcterms:modified xsi:type="dcterms:W3CDTF">2026-05-15T06:29:01Z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0x01010064B7D31CB1002442B456D759D9BAF844</vt:lpwstr>
  </property>
</Properties>
</file>