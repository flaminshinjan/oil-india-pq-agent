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/>
  <mc:AlternateContent xmlns:mc="http://schemas.openxmlformats.org/markup-compatibility/2006">
    <mc:Choice Requires="x15">
      <x15ac:absPath xmlns:x15ac="http://schemas.microsoft.com/office/spreadsheetml/2010/11/ac" url="C:\Users\rittu.kumari\Desktop\BUDGET SESSION 2026\Budget PQ replies\"/>
    </mc:Choice>
  </mc:AlternateContent>
  <xr:revisionPtr revIDLastSave="0" documentId="8_{21038AA0-70AF-4D4E-B2AB-C5A946C38CBE}" xr6:coauthVersionLast="36" xr6:coauthVersionMax="36" xr10:uidLastSave="{00000000-0000-0000-0000-000000000000}"/>
  <bookViews>
    <workbookView xWindow="0" yWindow="0" windowWidth="24720" windowHeight="12105" xr2:uid="{00000000-000D-0000-FFFF-FFFF00000000}"/>
  </bookViews>
  <sheets>
    <sheet name="Operated" sheetId="1" r:id="rId1"/>
  </sheets>
  <definedNames>
    <definedName name="_xlnm.Print_Area" localSheetId="0">Operated!$B$1:$N$54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F54" i="1"/>
  <c r="G54" i="1"/>
  <c r="H54" i="1"/>
  <c r="I54" i="1"/>
  <c r="J54" i="1"/>
  <c r="K54" i="1"/>
  <c r="L54" i="1"/>
  <c r="M54" i="1"/>
  <c r="N54" i="1"/>
  <c r="M41" i="1" l="1"/>
  <c r="L41" i="1"/>
  <c r="I41" i="1"/>
  <c r="G41" i="1"/>
  <c r="H41" i="1"/>
  <c r="M47" i="1"/>
  <c r="J5" i="1"/>
  <c r="J10" i="1"/>
  <c r="K28" i="1"/>
  <c r="K30" i="1"/>
  <c r="N41" i="1"/>
  <c r="F6" i="1"/>
  <c r="F41" i="1" s="1"/>
  <c r="L47" i="1"/>
  <c r="I47" i="1"/>
  <c r="F47" i="1"/>
  <c r="J41" i="1" l="1"/>
  <c r="K41" i="1"/>
</calcChain>
</file>

<file path=xl/sharedStrings.xml><?xml version="1.0" encoding="utf-8"?>
<sst xmlns="http://schemas.openxmlformats.org/spreadsheetml/2006/main" count="285" uniqueCount="88">
  <si>
    <t>OALP Round</t>
  </si>
  <si>
    <t>Sl. No.</t>
  </si>
  <si>
    <t>OALP Blocks</t>
  </si>
  <si>
    <t>Committed Work Programme 
(CWP)</t>
  </si>
  <si>
    <t>Progress / Achievement</t>
  </si>
  <si>
    <t>2D Seismic (LKM)</t>
  </si>
  <si>
    <t>3D Seismic (SKM)</t>
  </si>
  <si>
    <t>Wells (No.)</t>
  </si>
  <si>
    <t>No. of Location Released</t>
  </si>
  <si>
    <t>AA-ONHP-2017/10 (Kobochapori)</t>
  </si>
  <si>
    <t>-</t>
  </si>
  <si>
    <t>AA-ONHP-2017/12 (West Mechaki)</t>
  </si>
  <si>
    <t>AA-ONHP-2017/13 (Chongkham)</t>
  </si>
  <si>
    <t>AA-ONHP-2017/16 (Namsai)</t>
  </si>
  <si>
    <t>AA-ONHP-2017/17 (Pasighat)</t>
  </si>
  <si>
    <t>AA-ONHP-2017/18 (North Bank-1)</t>
  </si>
  <si>
    <t>AA-ONHP-2017/20 (Namrup Borhat)</t>
  </si>
  <si>
    <t>OALP-II</t>
  </si>
  <si>
    <t>AN-OSHP-2018/1 (Andaman East)</t>
  </si>
  <si>
    <t>AN-OSHP-2018/2 (Andaman West)</t>
  </si>
  <si>
    <t>MN-ONHP-2018/1 (Cuttack-I)</t>
  </si>
  <si>
    <t>MN-ONHP-2018/2 (Puri)</t>
  </si>
  <si>
    <t>MN-ONHP-2018/3 (Chandbali)</t>
  </si>
  <si>
    <t>OALP-III</t>
  </si>
  <si>
    <t>AA-ONHP-2018/3 (Dima-Hasao)</t>
  </si>
  <si>
    <t>AA-ONHP-2018/5 (South Tripura)</t>
  </si>
  <si>
    <t>MN-ONHP-2018/5 (Cuttack-II)</t>
  </si>
  <si>
    <t>KK-OSHP-2018/1 (Kerala Konkan)</t>
  </si>
  <si>
    <t>OALP-V</t>
  </si>
  <si>
    <t>AA-ONHP-2019/1 (B. Charali)</t>
  </si>
  <si>
    <t>RJ-ONHP-2019/2 (Jamba)</t>
  </si>
  <si>
    <t>RJ-ONHP-2019/3 (Nagrasar)</t>
  </si>
  <si>
    <t>OALP-VI</t>
  </si>
  <si>
    <t>OALP-VII</t>
  </si>
  <si>
    <t>AS-ONHP-2021/3 (Mangaldoi)</t>
  </si>
  <si>
    <t>OALP-VIII</t>
  </si>
  <si>
    <t>AS-ONHP-2022/1 (Dhekiajuli)</t>
  </si>
  <si>
    <t>Total</t>
  </si>
  <si>
    <t>OALP-I</t>
  </si>
  <si>
    <t>Wells Drilled
(No.)</t>
  </si>
  <si>
    <t>Wells Under Drilling
(No.)</t>
  </si>
  <si>
    <t>Active Contract Area (sq. km)</t>
  </si>
  <si>
    <t>Rajasthan</t>
  </si>
  <si>
    <t>Andaman Offshore</t>
  </si>
  <si>
    <t>Nagaland</t>
  </si>
  <si>
    <t>Assam</t>
  </si>
  <si>
    <t>Tripura</t>
  </si>
  <si>
    <t>Kerala Offshore</t>
  </si>
  <si>
    <t>Assam &amp; Arunachal Pradesh</t>
  </si>
  <si>
    <t>State</t>
  </si>
  <si>
    <t>AA-ONHP-2020/1 (Khubal)</t>
  </si>
  <si>
    <t>AA-ONHP-2020/3 (Langtarai)</t>
  </si>
  <si>
    <t>Acreage Size</t>
  </si>
  <si>
    <t>(SQKM)</t>
  </si>
  <si>
    <t>TOTAL</t>
  </si>
  <si>
    <t>Andhra Pradesh</t>
  </si>
  <si>
    <t>NEW ACREAGE LICENSING POLICY (NELP)</t>
  </si>
  <si>
    <t>NELP Blocks</t>
  </si>
  <si>
    <t>NELP-IX</t>
  </si>
  <si>
    <t>AA-ONN-2010/2 (Karbi Anglong)</t>
  </si>
  <si>
    <t>OALP-IX</t>
  </si>
  <si>
    <t>Krishna-Godavari Offshore</t>
  </si>
  <si>
    <t>Gujarat</t>
  </si>
  <si>
    <t>Meghalaya</t>
  </si>
  <si>
    <t>Odisha Offshore</t>
  </si>
  <si>
    <t>Odisha Onshore</t>
  </si>
  <si>
    <t>Arunachal Pradesh &amp; Assam</t>
  </si>
  <si>
    <t>AA-ONN-2010/3 (Sadiya)</t>
  </si>
  <si>
    <t>AS-ONHP-2021/2 (Pathsala)</t>
  </si>
  <si>
    <t>RJ-ONHP-2018/2 (Bikaner)</t>
  </si>
  <si>
    <t>CB ONHP-2023/ 1 (Cambay)</t>
  </si>
  <si>
    <t>MN-UDWHP-2023/2 (Mahanadi Offshore)</t>
  </si>
  <si>
    <t>MN-UDWHP-2023/3 (Mahanadi Offshore)</t>
  </si>
  <si>
    <t>KG-UDWHP-2023/1 (KG Offshore)</t>
  </si>
  <si>
    <t>KG-UDWHP-2023/2 (KG Offshore)</t>
  </si>
  <si>
    <t>AS-ONHP-2022/3 (Meghalaya)</t>
  </si>
  <si>
    <t>Nominated PEL</t>
  </si>
  <si>
    <t>Jairampur Extension</t>
  </si>
  <si>
    <t>NOMINATED PEL</t>
  </si>
  <si>
    <t>Nominated Block</t>
  </si>
  <si>
    <t>NELP Round</t>
  </si>
  <si>
    <t>AA-ONHP-2019/2 (Lakhimpur) - Relinquished</t>
  </si>
  <si>
    <t>RJ-ONHP-2017/9 (Siyasar-I) - Relinquished</t>
  </si>
  <si>
    <t>MN-ONHP-2018/4 (Jajpur) - Relinquished</t>
  </si>
  <si>
    <t>RJ-ONHP-2017/8 (South Baghewala) - Relinquished</t>
  </si>
  <si>
    <t>Annexure - I_14573</t>
  </si>
  <si>
    <t>AA-ONHP-2018/2 (Nagaland) - PL Awaited</t>
  </si>
  <si>
    <t xml:space="preserve"> OPEN ACREAGE LICENSING POLICY (OALP) Blocks awarded to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</si>
</sst>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8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2" fontId="0" fillId="3" borderId="8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2" fontId="0" fillId="8" borderId="8" xfId="0" applyNumberForma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9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center" wrapText="1"/>
    </xf>
    <xf numFmtId="2" fontId="0" fillId="8" borderId="8" xfId="0" applyNumberForma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6" fillId="0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1" applyFont="1" applyFill="1" applyBorder="1" applyAlignment="1">
      <alignment horizontal="center" vertical="center" wrapText="1"/>
    </xf>
    <xf numFmtId="164" fontId="6" fillId="0" borderId="1" xfId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3">
    <cellStyle name="Comma" xfId="1" builtinId="3"/>
    <cellStyle name="Comma 2" xfId="2" xr:uid="{DBDF3C70-2F37-4567-A5E8-C399466A2308}"/>
    <cellStyle name="Normal" xfId="0" builtinId="0"/>
  </cellStyles>
  <dxfs count="0"/>
  <tableStyles count="0" defaultTableStyle="TableStyleMedium2" defaultPivotStyle="PivotStyleLight16"/>
  <colors>
    <mruColors>
      <color rgb="FFD9E1F2"/>
      <color rgb="FFCCCC00"/>
      <color rgb="FFCC99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4"/>
  <sheetViews>
    <sheetView tabSelected="1" zoomScale="95" zoomScaleNormal="95" workbookViewId="0">
      <selection activeCell="C12" sqref="C12"/>
    </sheetView>
  </sheetViews>
  <sheetFormatPr defaultColWidth="9.140625" defaultRowHeight="15" x14ac:dyDescent="0.25"/>
  <cols>
    <col min="1" max="1" width="9.140625" style="2"/>
    <col min="2" max="2" width="7.28515625" style="7" bestFit="1" customWidth="1"/>
    <col min="3" max="3" width="33.85546875" style="12" customWidth="1"/>
    <col min="4" max="4" width="15.85546875" style="7" customWidth="1"/>
    <col min="5" max="5" width="47.7109375" style="2" customWidth="1"/>
    <col min="6" max="6" width="14.28515625" style="2" customWidth="1"/>
    <col min="7" max="8" width="11.28515625" style="8" bestFit="1" customWidth="1"/>
    <col min="9" max="9" width="6.42578125" style="8" bestFit="1" customWidth="1"/>
    <col min="10" max="11" width="11.28515625" style="2" bestFit="1" customWidth="1"/>
    <col min="12" max="12" width="9.5703125" style="2" bestFit="1" customWidth="1"/>
    <col min="13" max="13" width="7.42578125" style="2" bestFit="1" customWidth="1"/>
    <col min="14" max="14" width="12.85546875" style="2" customWidth="1"/>
    <col min="16" max="16384" width="9.140625" style="2"/>
  </cols>
  <sheetData>
    <row r="1" spans="2:14" ht="24.75" customHeight="1" x14ac:dyDescent="0.25">
      <c r="K1" s="104" t="s">
        <v>85</v>
      </c>
      <c r="L1" s="104"/>
      <c r="M1" s="104"/>
      <c r="N1" s="104"/>
    </row>
    <row r="2" spans="2:14" s="1" customFormat="1" ht="26.25" x14ac:dyDescent="0.25">
      <c r="B2" s="105" t="s">
        <v>87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2:14" s="47" customFormat="1" ht="15.75" x14ac:dyDescent="0.25">
      <c r="B3" s="116" t="s">
        <v>1</v>
      </c>
      <c r="C3" s="108" t="s">
        <v>49</v>
      </c>
      <c r="D3" s="119" t="s">
        <v>0</v>
      </c>
      <c r="E3" s="127" t="s">
        <v>2</v>
      </c>
      <c r="F3" s="119" t="s">
        <v>41</v>
      </c>
      <c r="G3" s="129" t="s">
        <v>3</v>
      </c>
      <c r="H3" s="129"/>
      <c r="I3" s="129"/>
      <c r="J3" s="121" t="s">
        <v>4</v>
      </c>
      <c r="K3" s="121"/>
      <c r="L3" s="121"/>
      <c r="M3" s="121"/>
      <c r="N3" s="121"/>
    </row>
    <row r="4" spans="2:14" s="48" customFormat="1" ht="47.25" x14ac:dyDescent="0.25">
      <c r="B4" s="117"/>
      <c r="C4" s="109"/>
      <c r="D4" s="120"/>
      <c r="E4" s="128"/>
      <c r="F4" s="120"/>
      <c r="G4" s="42" t="s">
        <v>5</v>
      </c>
      <c r="H4" s="42" t="s">
        <v>6</v>
      </c>
      <c r="I4" s="42" t="s">
        <v>7</v>
      </c>
      <c r="J4" s="13" t="s">
        <v>5</v>
      </c>
      <c r="K4" s="13" t="s">
        <v>6</v>
      </c>
      <c r="L4" s="13" t="s">
        <v>8</v>
      </c>
      <c r="M4" s="13" t="s">
        <v>39</v>
      </c>
      <c r="N4" s="13" t="s">
        <v>40</v>
      </c>
    </row>
    <row r="5" spans="2:14" x14ac:dyDescent="0.25">
      <c r="B5" s="34">
        <v>1</v>
      </c>
      <c r="C5" s="49" t="s">
        <v>48</v>
      </c>
      <c r="D5" s="3" t="s">
        <v>38</v>
      </c>
      <c r="E5" s="93" t="s">
        <v>9</v>
      </c>
      <c r="F5" s="50">
        <v>543</v>
      </c>
      <c r="G5" s="14">
        <v>150</v>
      </c>
      <c r="H5" s="14">
        <v>0</v>
      </c>
      <c r="I5" s="14">
        <v>1</v>
      </c>
      <c r="J5" s="51">
        <f>150.18+7.26</f>
        <v>157.44</v>
      </c>
      <c r="K5" s="52" t="s">
        <v>10</v>
      </c>
      <c r="L5" s="53">
        <v>2</v>
      </c>
      <c r="M5" s="52">
        <v>1</v>
      </c>
      <c r="N5" s="52" t="s">
        <v>10</v>
      </c>
    </row>
    <row r="6" spans="2:14" x14ac:dyDescent="0.25">
      <c r="B6" s="34">
        <v>2</v>
      </c>
      <c r="C6" s="49" t="s">
        <v>48</v>
      </c>
      <c r="D6" s="3" t="s">
        <v>38</v>
      </c>
      <c r="E6" s="93" t="s">
        <v>11</v>
      </c>
      <c r="F6" s="55">
        <f>489-179.13</f>
        <v>309.87</v>
      </c>
      <c r="G6" s="14">
        <v>127</v>
      </c>
      <c r="H6" s="14">
        <v>63</v>
      </c>
      <c r="I6" s="14">
        <v>1</v>
      </c>
      <c r="J6" s="51">
        <v>200.04</v>
      </c>
      <c r="K6" s="51">
        <v>100.02</v>
      </c>
      <c r="L6" s="56">
        <v>2</v>
      </c>
      <c r="M6" s="52" t="s">
        <v>10</v>
      </c>
      <c r="N6" s="52" t="s">
        <v>10</v>
      </c>
    </row>
    <row r="7" spans="2:14" x14ac:dyDescent="0.25">
      <c r="B7" s="34">
        <v>3</v>
      </c>
      <c r="C7" s="49" t="s">
        <v>66</v>
      </c>
      <c r="D7" s="3" t="s">
        <v>38</v>
      </c>
      <c r="E7" s="93" t="s">
        <v>12</v>
      </c>
      <c r="F7" s="55">
        <v>841</v>
      </c>
      <c r="G7" s="14">
        <v>300</v>
      </c>
      <c r="H7" s="14">
        <v>0</v>
      </c>
      <c r="I7" s="14">
        <v>1</v>
      </c>
      <c r="J7" s="52">
        <v>300.06</v>
      </c>
      <c r="K7" s="52" t="s">
        <v>10</v>
      </c>
      <c r="L7" s="53">
        <v>1</v>
      </c>
      <c r="M7" s="52" t="s">
        <v>10</v>
      </c>
      <c r="N7" s="52" t="s">
        <v>10</v>
      </c>
    </row>
    <row r="8" spans="2:14" x14ac:dyDescent="0.25">
      <c r="B8" s="34">
        <v>4</v>
      </c>
      <c r="C8" s="49" t="s">
        <v>66</v>
      </c>
      <c r="D8" s="3" t="s">
        <v>38</v>
      </c>
      <c r="E8" s="93" t="s">
        <v>13</v>
      </c>
      <c r="F8" s="55">
        <v>361</v>
      </c>
      <c r="G8" s="14">
        <v>200</v>
      </c>
      <c r="H8" s="14">
        <v>0</v>
      </c>
      <c r="I8" s="14">
        <v>1</v>
      </c>
      <c r="J8" s="51">
        <v>200.04</v>
      </c>
      <c r="K8" s="52" t="s">
        <v>10</v>
      </c>
      <c r="L8" s="53">
        <v>2</v>
      </c>
      <c r="M8" s="52" t="s">
        <v>10</v>
      </c>
      <c r="N8" s="52" t="s">
        <v>10</v>
      </c>
    </row>
    <row r="9" spans="2:14" s="6" customFormat="1" x14ac:dyDescent="0.25">
      <c r="B9" s="34">
        <v>5</v>
      </c>
      <c r="C9" s="49" t="s">
        <v>48</v>
      </c>
      <c r="D9" s="3" t="s">
        <v>38</v>
      </c>
      <c r="E9" s="93" t="s">
        <v>14</v>
      </c>
      <c r="F9" s="55">
        <v>309</v>
      </c>
      <c r="G9" s="14">
        <v>180</v>
      </c>
      <c r="H9" s="14">
        <v>0</v>
      </c>
      <c r="I9" s="14">
        <v>1</v>
      </c>
      <c r="J9" s="51">
        <v>180</v>
      </c>
      <c r="K9" s="52" t="s">
        <v>10</v>
      </c>
      <c r="L9" s="53">
        <v>1</v>
      </c>
      <c r="M9" s="52" t="s">
        <v>10</v>
      </c>
      <c r="N9" s="52" t="s">
        <v>10</v>
      </c>
    </row>
    <row r="10" spans="2:14" s="6" customFormat="1" x14ac:dyDescent="0.25">
      <c r="B10" s="34">
        <v>6</v>
      </c>
      <c r="C10" s="49" t="s">
        <v>48</v>
      </c>
      <c r="D10" s="3" t="s">
        <v>38</v>
      </c>
      <c r="E10" s="93" t="s">
        <v>15</v>
      </c>
      <c r="F10" s="55">
        <v>1711</v>
      </c>
      <c r="G10" s="14">
        <v>200</v>
      </c>
      <c r="H10" s="14">
        <v>0</v>
      </c>
      <c r="I10" s="14">
        <v>1</v>
      </c>
      <c r="J10" s="51">
        <f>200.22+215.04</f>
        <v>415.26</v>
      </c>
      <c r="K10" s="52" t="s">
        <v>10</v>
      </c>
      <c r="L10" s="53">
        <v>2</v>
      </c>
      <c r="M10" s="52">
        <v>1</v>
      </c>
      <c r="N10" s="52" t="s">
        <v>10</v>
      </c>
    </row>
    <row r="11" spans="2:14" x14ac:dyDescent="0.25">
      <c r="B11" s="34">
        <v>7</v>
      </c>
      <c r="C11" s="49" t="s">
        <v>48</v>
      </c>
      <c r="D11" s="3" t="s">
        <v>38</v>
      </c>
      <c r="E11" s="93" t="s">
        <v>16</v>
      </c>
      <c r="F11" s="55">
        <v>36.61</v>
      </c>
      <c r="G11" s="14">
        <v>0</v>
      </c>
      <c r="H11" s="14">
        <v>36.61</v>
      </c>
      <c r="I11" s="14">
        <v>1</v>
      </c>
      <c r="J11" s="52" t="s">
        <v>10</v>
      </c>
      <c r="K11" s="51">
        <v>31.83</v>
      </c>
      <c r="L11" s="56">
        <v>3</v>
      </c>
      <c r="M11" s="56">
        <v>2</v>
      </c>
      <c r="N11" s="52" t="s">
        <v>10</v>
      </c>
    </row>
    <row r="12" spans="2:14" x14ac:dyDescent="0.25">
      <c r="B12" s="34">
        <v>8</v>
      </c>
      <c r="C12" s="57" t="s">
        <v>48</v>
      </c>
      <c r="D12" s="3" t="s">
        <v>28</v>
      </c>
      <c r="E12" s="93" t="s">
        <v>29</v>
      </c>
      <c r="F12" s="55">
        <v>1278.27</v>
      </c>
      <c r="G12" s="11">
        <v>200</v>
      </c>
      <c r="H12" s="11">
        <v>0</v>
      </c>
      <c r="I12" s="11">
        <v>1</v>
      </c>
      <c r="J12" s="11">
        <v>200.46</v>
      </c>
      <c r="K12" s="52" t="s">
        <v>10</v>
      </c>
      <c r="L12" s="53">
        <v>1</v>
      </c>
      <c r="M12" s="52" t="s">
        <v>10</v>
      </c>
      <c r="N12" s="52" t="s">
        <v>10</v>
      </c>
    </row>
    <row r="13" spans="2:14" x14ac:dyDescent="0.25">
      <c r="B13" s="34">
        <v>9</v>
      </c>
      <c r="C13" s="58" t="s">
        <v>45</v>
      </c>
      <c r="D13" s="97" t="s">
        <v>28</v>
      </c>
      <c r="E13" s="59" t="s">
        <v>81</v>
      </c>
      <c r="F13" s="60"/>
      <c r="G13" s="30">
        <v>250</v>
      </c>
      <c r="H13" s="30">
        <v>0</v>
      </c>
      <c r="I13" s="30">
        <v>1</v>
      </c>
      <c r="J13" s="30">
        <v>284.16000000000003</v>
      </c>
      <c r="K13" s="61" t="s">
        <v>10</v>
      </c>
      <c r="L13" s="62" t="s">
        <v>10</v>
      </c>
      <c r="M13" s="61" t="s">
        <v>10</v>
      </c>
      <c r="N13" s="61" t="s">
        <v>10</v>
      </c>
    </row>
    <row r="14" spans="2:14" x14ac:dyDescent="0.25">
      <c r="B14" s="34">
        <v>10</v>
      </c>
      <c r="C14" s="57" t="s">
        <v>45</v>
      </c>
      <c r="D14" s="3" t="s">
        <v>23</v>
      </c>
      <c r="E14" s="93" t="s">
        <v>24</v>
      </c>
      <c r="F14" s="55">
        <v>1234.42</v>
      </c>
      <c r="G14" s="11">
        <v>150</v>
      </c>
      <c r="H14" s="11">
        <v>150</v>
      </c>
      <c r="I14" s="11">
        <v>3</v>
      </c>
      <c r="J14" s="11">
        <v>150.30000000000001</v>
      </c>
      <c r="K14" s="52">
        <v>150.29</v>
      </c>
      <c r="L14" s="53">
        <v>2</v>
      </c>
      <c r="M14" s="53">
        <v>1</v>
      </c>
      <c r="N14" s="52" t="s">
        <v>10</v>
      </c>
    </row>
    <row r="15" spans="2:14" x14ac:dyDescent="0.25">
      <c r="B15" s="34">
        <v>11</v>
      </c>
      <c r="C15" s="57" t="s">
        <v>45</v>
      </c>
      <c r="D15" s="3" t="s">
        <v>33</v>
      </c>
      <c r="E15" s="54" t="s">
        <v>68</v>
      </c>
      <c r="F15" s="55">
        <v>2445.3000000000002</v>
      </c>
      <c r="G15" s="11">
        <v>60</v>
      </c>
      <c r="H15" s="11" t="s">
        <v>10</v>
      </c>
      <c r="I15" s="11" t="s">
        <v>10</v>
      </c>
      <c r="J15" s="52">
        <v>200.48</v>
      </c>
      <c r="K15" s="52" t="s">
        <v>10</v>
      </c>
      <c r="L15" s="53">
        <v>1</v>
      </c>
      <c r="M15" s="53"/>
      <c r="N15" s="52" t="s">
        <v>10</v>
      </c>
    </row>
    <row r="16" spans="2:14" x14ac:dyDescent="0.25">
      <c r="B16" s="34">
        <v>12</v>
      </c>
      <c r="C16" s="57" t="s">
        <v>45</v>
      </c>
      <c r="D16" s="3" t="s">
        <v>33</v>
      </c>
      <c r="E16" s="54" t="s">
        <v>34</v>
      </c>
      <c r="F16" s="55">
        <v>1840.87</v>
      </c>
      <c r="G16" s="11">
        <v>60</v>
      </c>
      <c r="H16" s="11" t="s">
        <v>10</v>
      </c>
      <c r="I16" s="11" t="s">
        <v>10</v>
      </c>
      <c r="J16" s="52">
        <v>150.47999999999999</v>
      </c>
      <c r="K16" s="52" t="s">
        <v>10</v>
      </c>
      <c r="L16" s="53">
        <v>1</v>
      </c>
      <c r="M16" s="53"/>
      <c r="N16" s="14">
        <v>1</v>
      </c>
    </row>
    <row r="17" spans="2:14" x14ac:dyDescent="0.25">
      <c r="B17" s="34">
        <v>13</v>
      </c>
      <c r="C17" s="57" t="s">
        <v>45</v>
      </c>
      <c r="D17" s="3" t="s">
        <v>35</v>
      </c>
      <c r="E17" s="54" t="s">
        <v>36</v>
      </c>
      <c r="F17" s="55">
        <v>2057.63</v>
      </c>
      <c r="G17" s="11">
        <v>200</v>
      </c>
      <c r="H17" s="11">
        <v>125</v>
      </c>
      <c r="I17" s="11">
        <v>1</v>
      </c>
      <c r="J17" s="52">
        <v>200</v>
      </c>
      <c r="K17" s="52">
        <v>152.59</v>
      </c>
      <c r="L17" s="52" t="s">
        <v>10</v>
      </c>
      <c r="M17" s="52"/>
      <c r="N17" s="52" t="s">
        <v>10</v>
      </c>
    </row>
    <row r="18" spans="2:14" x14ac:dyDescent="0.25">
      <c r="B18" s="34">
        <v>14</v>
      </c>
      <c r="C18" s="29" t="s">
        <v>44</v>
      </c>
      <c r="D18" s="98" t="s">
        <v>23</v>
      </c>
      <c r="E18" s="63" t="s">
        <v>86</v>
      </c>
      <c r="F18" s="64">
        <v>2526.7399999999998</v>
      </c>
      <c r="G18" s="10">
        <v>150</v>
      </c>
      <c r="H18" s="10">
        <v>200</v>
      </c>
      <c r="I18" s="10">
        <v>6</v>
      </c>
      <c r="J18" s="65" t="s">
        <v>10</v>
      </c>
      <c r="K18" s="65" t="s">
        <v>10</v>
      </c>
      <c r="L18" s="66" t="s">
        <v>10</v>
      </c>
      <c r="M18" s="66"/>
      <c r="N18" s="65" t="s">
        <v>10</v>
      </c>
    </row>
    <row r="19" spans="2:14" x14ac:dyDescent="0.25">
      <c r="B19" s="34">
        <v>15</v>
      </c>
      <c r="C19" s="57" t="s">
        <v>46</v>
      </c>
      <c r="D19" s="3" t="s">
        <v>23</v>
      </c>
      <c r="E19" s="93" t="s">
        <v>25</v>
      </c>
      <c r="F19" s="55">
        <v>207.74</v>
      </c>
      <c r="G19" s="11">
        <v>142.13</v>
      </c>
      <c r="H19" s="11">
        <v>193.15</v>
      </c>
      <c r="I19" s="11">
        <v>6</v>
      </c>
      <c r="J19" s="11">
        <v>142.65</v>
      </c>
      <c r="K19" s="67">
        <v>194</v>
      </c>
      <c r="L19" s="53">
        <v>1</v>
      </c>
      <c r="M19" s="52" t="s">
        <v>10</v>
      </c>
      <c r="N19" s="52" t="s">
        <v>10</v>
      </c>
    </row>
    <row r="20" spans="2:14" x14ac:dyDescent="0.25">
      <c r="B20" s="34">
        <v>16</v>
      </c>
      <c r="C20" s="57" t="s">
        <v>46</v>
      </c>
      <c r="D20" s="3" t="s">
        <v>32</v>
      </c>
      <c r="E20" s="54" t="s">
        <v>50</v>
      </c>
      <c r="F20" s="55">
        <v>557.33000000000004</v>
      </c>
      <c r="G20" s="11">
        <v>70</v>
      </c>
      <c r="H20" s="11" t="s">
        <v>10</v>
      </c>
      <c r="I20" s="11" t="s">
        <v>10</v>
      </c>
      <c r="J20" s="52">
        <v>145.02000000000001</v>
      </c>
      <c r="K20" s="52" t="s">
        <v>10</v>
      </c>
      <c r="L20" s="53" t="s">
        <v>10</v>
      </c>
      <c r="M20" s="53"/>
      <c r="N20" s="52" t="s">
        <v>10</v>
      </c>
    </row>
    <row r="21" spans="2:14" x14ac:dyDescent="0.25">
      <c r="B21" s="34">
        <v>17</v>
      </c>
      <c r="C21" s="57" t="s">
        <v>46</v>
      </c>
      <c r="D21" s="3" t="s">
        <v>32</v>
      </c>
      <c r="E21" s="54" t="s">
        <v>51</v>
      </c>
      <c r="F21" s="55">
        <v>219.37</v>
      </c>
      <c r="G21" s="11">
        <v>50</v>
      </c>
      <c r="H21" s="11" t="s">
        <v>10</v>
      </c>
      <c r="I21" s="11" t="s">
        <v>10</v>
      </c>
      <c r="J21" s="52">
        <v>74.040000000000006</v>
      </c>
      <c r="K21" s="52" t="s">
        <v>10</v>
      </c>
      <c r="L21" s="53" t="s">
        <v>10</v>
      </c>
      <c r="M21" s="53"/>
      <c r="N21" s="52" t="s">
        <v>10</v>
      </c>
    </row>
    <row r="22" spans="2:14" x14ac:dyDescent="0.25">
      <c r="B22" s="34">
        <v>18</v>
      </c>
      <c r="C22" s="68" t="s">
        <v>63</v>
      </c>
      <c r="D22" s="99" t="s">
        <v>60</v>
      </c>
      <c r="E22" s="95" t="s">
        <v>75</v>
      </c>
      <c r="F22" s="55">
        <v>2168.09</v>
      </c>
      <c r="G22" s="11">
        <v>120</v>
      </c>
      <c r="H22" s="11">
        <v>150</v>
      </c>
      <c r="I22" s="11">
        <v>2</v>
      </c>
      <c r="J22" s="52" t="s">
        <v>10</v>
      </c>
      <c r="K22" s="52" t="s">
        <v>10</v>
      </c>
      <c r="L22" s="52" t="s">
        <v>10</v>
      </c>
      <c r="M22" s="52" t="s">
        <v>10</v>
      </c>
      <c r="N22" s="52" t="s">
        <v>10</v>
      </c>
    </row>
    <row r="23" spans="2:14" s="6" customFormat="1" x14ac:dyDescent="0.25">
      <c r="B23" s="35">
        <v>19</v>
      </c>
      <c r="C23" s="69" t="s">
        <v>42</v>
      </c>
      <c r="D23" s="97" t="s">
        <v>38</v>
      </c>
      <c r="E23" s="59" t="s">
        <v>84</v>
      </c>
      <c r="F23" s="60"/>
      <c r="G23" s="30">
        <v>0</v>
      </c>
      <c r="H23" s="31">
        <v>516</v>
      </c>
      <c r="I23" s="31">
        <v>3</v>
      </c>
      <c r="J23" s="61" t="s">
        <v>10</v>
      </c>
      <c r="K23" s="32">
        <v>464.04</v>
      </c>
      <c r="L23" s="33">
        <v>2</v>
      </c>
      <c r="M23" s="33">
        <v>2</v>
      </c>
      <c r="N23" s="61" t="s">
        <v>10</v>
      </c>
    </row>
    <row r="24" spans="2:14" s="6" customFormat="1" x14ac:dyDescent="0.25">
      <c r="B24" s="35">
        <v>20</v>
      </c>
      <c r="C24" s="69" t="s">
        <v>42</v>
      </c>
      <c r="D24" s="97" t="s">
        <v>38</v>
      </c>
      <c r="E24" s="59" t="s">
        <v>82</v>
      </c>
      <c r="F24" s="60"/>
      <c r="G24" s="31">
        <v>1500</v>
      </c>
      <c r="H24" s="30">
        <v>0</v>
      </c>
      <c r="I24" s="31">
        <v>2</v>
      </c>
      <c r="J24" s="31">
        <v>1500</v>
      </c>
      <c r="K24" s="61" t="s">
        <v>10</v>
      </c>
      <c r="L24" s="62">
        <v>1</v>
      </c>
      <c r="M24" s="62">
        <v>1</v>
      </c>
      <c r="N24" s="31" t="s">
        <v>10</v>
      </c>
    </row>
    <row r="25" spans="2:14" x14ac:dyDescent="0.25">
      <c r="B25" s="35">
        <v>21</v>
      </c>
      <c r="C25" s="57" t="s">
        <v>42</v>
      </c>
      <c r="D25" s="3" t="s">
        <v>23</v>
      </c>
      <c r="E25" s="93" t="s">
        <v>69</v>
      </c>
      <c r="F25" s="55">
        <v>3016.34</v>
      </c>
      <c r="G25" s="11">
        <v>1950</v>
      </c>
      <c r="H25" s="11" t="s">
        <v>10</v>
      </c>
      <c r="I25" s="11">
        <v>5</v>
      </c>
      <c r="J25" s="51">
        <v>2145</v>
      </c>
      <c r="K25" s="11" t="s">
        <v>10</v>
      </c>
      <c r="L25" s="15">
        <v>2</v>
      </c>
      <c r="M25" s="52">
        <v>1</v>
      </c>
      <c r="N25" s="52" t="s">
        <v>10</v>
      </c>
    </row>
    <row r="26" spans="2:14" x14ac:dyDescent="0.25">
      <c r="B26" s="35">
        <v>22</v>
      </c>
      <c r="C26" s="57" t="s">
        <v>42</v>
      </c>
      <c r="D26" s="3" t="s">
        <v>28</v>
      </c>
      <c r="E26" s="93" t="s">
        <v>30</v>
      </c>
      <c r="F26" s="55">
        <v>1520.08</v>
      </c>
      <c r="G26" s="11">
        <v>685</v>
      </c>
      <c r="H26" s="11">
        <v>0</v>
      </c>
      <c r="I26" s="11">
        <v>2</v>
      </c>
      <c r="J26" s="11">
        <v>1011.25</v>
      </c>
      <c r="K26" s="52" t="s">
        <v>10</v>
      </c>
      <c r="L26" s="53">
        <v>3</v>
      </c>
      <c r="M26" s="53">
        <v>1</v>
      </c>
      <c r="N26" s="52" t="s">
        <v>10</v>
      </c>
    </row>
    <row r="27" spans="2:14" x14ac:dyDescent="0.25">
      <c r="B27" s="35">
        <v>23</v>
      </c>
      <c r="C27" s="57" t="s">
        <v>42</v>
      </c>
      <c r="D27" s="3" t="s">
        <v>28</v>
      </c>
      <c r="E27" s="93" t="s">
        <v>31</v>
      </c>
      <c r="F27" s="55">
        <v>1819.48</v>
      </c>
      <c r="G27" s="11">
        <v>895</v>
      </c>
      <c r="H27" s="11">
        <v>0</v>
      </c>
      <c r="I27" s="11">
        <v>3</v>
      </c>
      <c r="J27" s="11">
        <v>927.45</v>
      </c>
      <c r="K27" s="52" t="s">
        <v>10</v>
      </c>
      <c r="L27" s="53">
        <v>2</v>
      </c>
      <c r="M27" s="53"/>
      <c r="N27" s="52" t="s">
        <v>10</v>
      </c>
    </row>
    <row r="28" spans="2:14" x14ac:dyDescent="0.25">
      <c r="B28" s="36">
        <v>24</v>
      </c>
      <c r="C28" s="70" t="s">
        <v>65</v>
      </c>
      <c r="D28" s="100" t="s">
        <v>17</v>
      </c>
      <c r="E28" s="93" t="s">
        <v>20</v>
      </c>
      <c r="F28" s="71">
        <v>2933.85</v>
      </c>
      <c r="G28" s="43">
        <v>200</v>
      </c>
      <c r="H28" s="43">
        <v>350</v>
      </c>
      <c r="I28" s="43">
        <v>5</v>
      </c>
      <c r="J28" s="72">
        <v>242.22</v>
      </c>
      <c r="K28" s="73">
        <f>350+175.95</f>
        <v>525.95000000000005</v>
      </c>
      <c r="L28" s="74">
        <v>1</v>
      </c>
      <c r="M28" s="73" t="s">
        <v>10</v>
      </c>
      <c r="N28" s="52">
        <v>1</v>
      </c>
    </row>
    <row r="29" spans="2:14" x14ac:dyDescent="0.25">
      <c r="B29" s="36">
        <v>25</v>
      </c>
      <c r="C29" s="70" t="s">
        <v>65</v>
      </c>
      <c r="D29" s="100" t="s">
        <v>17</v>
      </c>
      <c r="E29" s="93" t="s">
        <v>21</v>
      </c>
      <c r="F29" s="71">
        <v>2539.5100000000002</v>
      </c>
      <c r="G29" s="43">
        <v>500</v>
      </c>
      <c r="H29" s="43">
        <v>260</v>
      </c>
      <c r="I29" s="43">
        <v>3</v>
      </c>
      <c r="J29" s="72">
        <v>502.56</v>
      </c>
      <c r="K29" s="72">
        <v>314.45</v>
      </c>
      <c r="L29" s="75">
        <v>5</v>
      </c>
      <c r="M29" s="75">
        <v>3</v>
      </c>
      <c r="N29" s="73" t="s">
        <v>10</v>
      </c>
    </row>
    <row r="30" spans="2:14" x14ac:dyDescent="0.25">
      <c r="B30" s="37">
        <v>26</v>
      </c>
      <c r="C30" s="70" t="s">
        <v>65</v>
      </c>
      <c r="D30" s="100" t="s">
        <v>17</v>
      </c>
      <c r="E30" s="93" t="s">
        <v>22</v>
      </c>
      <c r="F30" s="71">
        <v>3097.12</v>
      </c>
      <c r="G30" s="43">
        <v>0</v>
      </c>
      <c r="H30" s="43">
        <v>330</v>
      </c>
      <c r="I30" s="43">
        <v>3</v>
      </c>
      <c r="J30" s="73" t="s">
        <v>10</v>
      </c>
      <c r="K30" s="72">
        <f>345.58+154.19</f>
        <v>499.77</v>
      </c>
      <c r="L30" s="75">
        <v>1</v>
      </c>
      <c r="M30" s="73" t="s">
        <v>10</v>
      </c>
      <c r="N30" s="73" t="s">
        <v>10</v>
      </c>
    </row>
    <row r="31" spans="2:14" x14ac:dyDescent="0.25">
      <c r="B31" s="37">
        <v>27</v>
      </c>
      <c r="C31" s="58" t="s">
        <v>65</v>
      </c>
      <c r="D31" s="97" t="s">
        <v>17</v>
      </c>
      <c r="E31" s="59" t="s">
        <v>83</v>
      </c>
      <c r="F31" s="76"/>
      <c r="G31" s="31">
        <v>0</v>
      </c>
      <c r="H31" s="31">
        <v>330</v>
      </c>
      <c r="I31" s="31">
        <v>3</v>
      </c>
      <c r="J31" s="61" t="s">
        <v>10</v>
      </c>
      <c r="K31" s="77">
        <v>334.01</v>
      </c>
      <c r="L31" s="78" t="s">
        <v>10</v>
      </c>
      <c r="M31" s="61" t="s">
        <v>10</v>
      </c>
      <c r="N31" s="61" t="s">
        <v>10</v>
      </c>
    </row>
    <row r="32" spans="2:14" x14ac:dyDescent="0.25">
      <c r="B32" s="36">
        <v>28</v>
      </c>
      <c r="C32" s="70" t="s">
        <v>65</v>
      </c>
      <c r="D32" s="100" t="s">
        <v>23</v>
      </c>
      <c r="E32" s="93" t="s">
        <v>26</v>
      </c>
      <c r="F32" s="71">
        <v>2299.7399999999998</v>
      </c>
      <c r="G32" s="44">
        <v>760</v>
      </c>
      <c r="H32" s="44">
        <v>400</v>
      </c>
      <c r="I32" s="44">
        <v>6</v>
      </c>
      <c r="J32" s="72">
        <v>760.02</v>
      </c>
      <c r="K32" s="44">
        <v>442.46</v>
      </c>
      <c r="L32" s="45">
        <v>3</v>
      </c>
      <c r="M32" s="14">
        <v>3</v>
      </c>
      <c r="N32" s="92" t="s">
        <v>10</v>
      </c>
    </row>
    <row r="33" spans="2:14" x14ac:dyDescent="0.25">
      <c r="B33" s="36">
        <v>29</v>
      </c>
      <c r="C33" s="79" t="s">
        <v>64</v>
      </c>
      <c r="D33" s="101" t="s">
        <v>60</v>
      </c>
      <c r="E33" s="94" t="s">
        <v>71</v>
      </c>
      <c r="F33" s="71">
        <v>9425.84</v>
      </c>
      <c r="G33" s="44">
        <v>1101</v>
      </c>
      <c r="H33" s="44">
        <v>2000</v>
      </c>
      <c r="I33" s="44" t="s">
        <v>10</v>
      </c>
      <c r="J33" s="14">
        <v>1101.45</v>
      </c>
      <c r="K33" s="14">
        <v>1272.088</v>
      </c>
      <c r="L33" s="73" t="s">
        <v>10</v>
      </c>
      <c r="M33" s="73" t="s">
        <v>10</v>
      </c>
      <c r="N33" s="73" t="s">
        <v>10</v>
      </c>
    </row>
    <row r="34" spans="2:14" x14ac:dyDescent="0.25">
      <c r="B34" s="36">
        <v>30</v>
      </c>
      <c r="C34" s="79" t="s">
        <v>64</v>
      </c>
      <c r="D34" s="101" t="s">
        <v>60</v>
      </c>
      <c r="E34" s="94" t="s">
        <v>72</v>
      </c>
      <c r="F34" s="71">
        <v>9831.48</v>
      </c>
      <c r="G34" s="44">
        <v>1000</v>
      </c>
      <c r="H34" s="44">
        <v>500</v>
      </c>
      <c r="I34" s="44" t="s">
        <v>10</v>
      </c>
      <c r="J34" s="14">
        <v>1000.85</v>
      </c>
      <c r="K34" s="14">
        <v>500.71</v>
      </c>
      <c r="L34" s="73" t="s">
        <v>10</v>
      </c>
      <c r="M34" s="73" t="s">
        <v>10</v>
      </c>
      <c r="N34" s="73" t="s">
        <v>10</v>
      </c>
    </row>
    <row r="35" spans="2:14" x14ac:dyDescent="0.25">
      <c r="B35" s="39">
        <v>31</v>
      </c>
      <c r="C35" s="79" t="s">
        <v>62</v>
      </c>
      <c r="D35" s="101" t="s">
        <v>60</v>
      </c>
      <c r="E35" s="95" t="s">
        <v>70</v>
      </c>
      <c r="F35" s="71">
        <v>446.27</v>
      </c>
      <c r="G35" s="44">
        <v>190</v>
      </c>
      <c r="H35" s="44">
        <v>250</v>
      </c>
      <c r="I35" s="44">
        <v>5</v>
      </c>
      <c r="J35" s="14">
        <v>5.44</v>
      </c>
      <c r="K35" s="52" t="s">
        <v>10</v>
      </c>
      <c r="L35" s="73">
        <v>3</v>
      </c>
      <c r="M35" s="73" t="s">
        <v>10</v>
      </c>
      <c r="N35" s="73" t="s">
        <v>10</v>
      </c>
    </row>
    <row r="36" spans="2:14" s="6" customFormat="1" x14ac:dyDescent="0.25">
      <c r="B36" s="40">
        <v>32</v>
      </c>
      <c r="C36" s="80" t="s">
        <v>43</v>
      </c>
      <c r="D36" s="100" t="s">
        <v>17</v>
      </c>
      <c r="E36" s="93" t="s">
        <v>18</v>
      </c>
      <c r="F36" s="71">
        <v>3669.25</v>
      </c>
      <c r="G36" s="43">
        <v>4050</v>
      </c>
      <c r="H36" s="43">
        <v>0</v>
      </c>
      <c r="I36" s="43">
        <v>4</v>
      </c>
      <c r="J36" s="9">
        <v>4113.6000000000004</v>
      </c>
      <c r="K36" s="52" t="s">
        <v>10</v>
      </c>
      <c r="L36" s="74">
        <v>2</v>
      </c>
      <c r="M36" s="14">
        <v>1</v>
      </c>
      <c r="N36" s="73">
        <v>1</v>
      </c>
    </row>
    <row r="37" spans="2:14" s="6" customFormat="1" x14ac:dyDescent="0.25">
      <c r="B37" s="40">
        <v>33</v>
      </c>
      <c r="C37" s="80" t="s">
        <v>43</v>
      </c>
      <c r="D37" s="100" t="s">
        <v>17</v>
      </c>
      <c r="E37" s="93" t="s">
        <v>19</v>
      </c>
      <c r="F37" s="71">
        <v>5947.45</v>
      </c>
      <c r="G37" s="43">
        <v>4350</v>
      </c>
      <c r="H37" s="43">
        <v>0</v>
      </c>
      <c r="I37" s="43">
        <v>4</v>
      </c>
      <c r="J37" s="9">
        <v>4386.9250000000002</v>
      </c>
      <c r="K37" s="52" t="s">
        <v>10</v>
      </c>
      <c r="L37" s="74">
        <v>1</v>
      </c>
      <c r="M37" s="73">
        <v>1</v>
      </c>
      <c r="N37" s="73" t="s">
        <v>10</v>
      </c>
    </row>
    <row r="38" spans="2:14" s="6" customFormat="1" x14ac:dyDescent="0.25">
      <c r="B38" s="38">
        <v>34</v>
      </c>
      <c r="C38" s="70" t="s">
        <v>47</v>
      </c>
      <c r="D38" s="100" t="s">
        <v>23</v>
      </c>
      <c r="E38" s="93" t="s">
        <v>27</v>
      </c>
      <c r="F38" s="81">
        <v>3519.69</v>
      </c>
      <c r="G38" s="44">
        <v>0</v>
      </c>
      <c r="H38" s="44">
        <v>1017</v>
      </c>
      <c r="I38" s="44">
        <v>2</v>
      </c>
      <c r="J38" s="52" t="s">
        <v>10</v>
      </c>
      <c r="K38" s="9">
        <v>1027.78</v>
      </c>
      <c r="L38" s="75">
        <v>1</v>
      </c>
      <c r="M38" s="73" t="s">
        <v>10</v>
      </c>
      <c r="N38" s="73">
        <v>1</v>
      </c>
    </row>
    <row r="39" spans="2:14" x14ac:dyDescent="0.25">
      <c r="B39" s="46">
        <v>35</v>
      </c>
      <c r="C39" s="79" t="s">
        <v>61</v>
      </c>
      <c r="D39" s="101" t="s">
        <v>60</v>
      </c>
      <c r="E39" s="94" t="s">
        <v>73</v>
      </c>
      <c r="F39" s="71">
        <v>9495.16</v>
      </c>
      <c r="G39" s="44">
        <v>1000</v>
      </c>
      <c r="H39" s="44">
        <v>1200</v>
      </c>
      <c r="I39" s="44" t="s">
        <v>10</v>
      </c>
      <c r="J39" s="14">
        <v>1000.25</v>
      </c>
      <c r="K39" s="14">
        <v>1174.4000000000001</v>
      </c>
      <c r="L39" s="73" t="s">
        <v>10</v>
      </c>
      <c r="M39" s="73" t="s">
        <v>10</v>
      </c>
      <c r="N39" s="17"/>
    </row>
    <row r="40" spans="2:14" x14ac:dyDescent="0.25">
      <c r="B40" s="46">
        <v>36</v>
      </c>
      <c r="C40" s="79" t="s">
        <v>61</v>
      </c>
      <c r="D40" s="101" t="s">
        <v>60</v>
      </c>
      <c r="E40" s="94" t="s">
        <v>74</v>
      </c>
      <c r="F40" s="71">
        <v>9223.2199999999993</v>
      </c>
      <c r="G40" s="44">
        <v>1101</v>
      </c>
      <c r="H40" s="44">
        <v>1600</v>
      </c>
      <c r="I40" s="44" t="s">
        <v>10</v>
      </c>
      <c r="J40" s="14">
        <v>1101.0999999999999</v>
      </c>
      <c r="K40" s="14">
        <v>1507.5360000000001</v>
      </c>
      <c r="L40" s="73" t="s">
        <v>10</v>
      </c>
      <c r="M40" s="73" t="s">
        <v>10</v>
      </c>
      <c r="N40" s="73" t="s">
        <v>10</v>
      </c>
    </row>
    <row r="41" spans="2:14" x14ac:dyDescent="0.25">
      <c r="B41" s="82"/>
      <c r="C41" s="83"/>
      <c r="D41" s="102"/>
      <c r="E41" s="84" t="s">
        <v>37</v>
      </c>
      <c r="F41" s="85">
        <f>SUM(F5:F40)</f>
        <v>87431.719999999987</v>
      </c>
      <c r="G41" s="86">
        <f t="shared" ref="G41:N41" si="0">SUM(G5:G40)</f>
        <v>21891.13</v>
      </c>
      <c r="H41" s="86">
        <f t="shared" si="0"/>
        <v>9670.76</v>
      </c>
      <c r="I41" s="87">
        <f t="shared" si="0"/>
        <v>77</v>
      </c>
      <c r="J41" s="85">
        <f t="shared" si="0"/>
        <v>22798.545000000002</v>
      </c>
      <c r="K41" s="85">
        <f t="shared" si="0"/>
        <v>8691.9239999999991</v>
      </c>
      <c r="L41" s="89">
        <f t="shared" si="0"/>
        <v>46</v>
      </c>
      <c r="M41" s="89">
        <f t="shared" si="0"/>
        <v>18</v>
      </c>
      <c r="N41" s="89">
        <f t="shared" si="0"/>
        <v>4</v>
      </c>
    </row>
    <row r="42" spans="2:14" x14ac:dyDescent="0.25">
      <c r="C42" s="6"/>
      <c r="D42" s="27"/>
      <c r="E42" s="126"/>
      <c r="F42" s="126"/>
    </row>
    <row r="43" spans="2:14" ht="26.25" x14ac:dyDescent="0.25">
      <c r="B43" s="106" t="s">
        <v>78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</row>
    <row r="44" spans="2:14" s="47" customFormat="1" ht="15.75" x14ac:dyDescent="0.25">
      <c r="B44" s="118" t="s">
        <v>1</v>
      </c>
      <c r="C44" s="110" t="s">
        <v>49</v>
      </c>
      <c r="D44" s="118" t="s">
        <v>76</v>
      </c>
      <c r="E44" s="115" t="s">
        <v>79</v>
      </c>
      <c r="F44" s="16" t="s">
        <v>52</v>
      </c>
      <c r="G44" s="111" t="s">
        <v>3</v>
      </c>
      <c r="H44" s="111"/>
      <c r="I44" s="111"/>
      <c r="J44" s="112" t="s">
        <v>4</v>
      </c>
      <c r="K44" s="113"/>
      <c r="L44" s="113"/>
      <c r="M44" s="113"/>
      <c r="N44" s="114"/>
    </row>
    <row r="45" spans="2:14" s="47" customFormat="1" ht="47.25" x14ac:dyDescent="0.25">
      <c r="B45" s="118"/>
      <c r="C45" s="110"/>
      <c r="D45" s="118"/>
      <c r="E45" s="115"/>
      <c r="F45" s="16" t="s">
        <v>53</v>
      </c>
      <c r="G45" s="41" t="s">
        <v>5</v>
      </c>
      <c r="H45" s="41" t="s">
        <v>6</v>
      </c>
      <c r="I45" s="41" t="s">
        <v>7</v>
      </c>
      <c r="J45" s="16" t="s">
        <v>5</v>
      </c>
      <c r="K45" s="16" t="s">
        <v>6</v>
      </c>
      <c r="L45" s="88" t="s">
        <v>8</v>
      </c>
      <c r="M45" s="13" t="s">
        <v>39</v>
      </c>
      <c r="N45" s="13" t="s">
        <v>40</v>
      </c>
    </row>
    <row r="46" spans="2:14" x14ac:dyDescent="0.25">
      <c r="B46" s="9">
        <v>1</v>
      </c>
      <c r="C46" s="57" t="s">
        <v>55</v>
      </c>
      <c r="D46" s="52" t="s">
        <v>76</v>
      </c>
      <c r="E46" s="93" t="s">
        <v>77</v>
      </c>
      <c r="F46" s="9">
        <v>24.61</v>
      </c>
      <c r="G46" s="11" t="s">
        <v>10</v>
      </c>
      <c r="H46" s="11" t="s">
        <v>10</v>
      </c>
      <c r="I46" s="11">
        <v>2</v>
      </c>
      <c r="J46" s="9">
        <v>80</v>
      </c>
      <c r="K46" s="9" t="s">
        <v>10</v>
      </c>
      <c r="L46" s="9">
        <v>2</v>
      </c>
      <c r="M46" s="9" t="s">
        <v>10</v>
      </c>
      <c r="N46" s="9" t="s">
        <v>10</v>
      </c>
    </row>
    <row r="47" spans="2:14" ht="18.75" x14ac:dyDescent="0.25">
      <c r="B47" s="24"/>
      <c r="C47" s="29"/>
      <c r="D47" s="24"/>
      <c r="E47" s="23" t="s">
        <v>54</v>
      </c>
      <c r="F47" s="24">
        <f>SUM(F46:F46)</f>
        <v>24.61</v>
      </c>
      <c r="G47" s="25" t="s">
        <v>10</v>
      </c>
      <c r="H47" s="25" t="s">
        <v>10</v>
      </c>
      <c r="I47" s="25">
        <f>SUM(I46:I46)</f>
        <v>2</v>
      </c>
      <c r="J47" s="25">
        <f>SUM(J46:J46)</f>
        <v>80</v>
      </c>
      <c r="K47" s="26" t="s">
        <v>10</v>
      </c>
      <c r="L47" s="26">
        <f>SUM(L46:L46)</f>
        <v>2</v>
      </c>
      <c r="M47" s="26">
        <f>SUM(M46:M46)</f>
        <v>0</v>
      </c>
      <c r="N47" s="26" t="s">
        <v>10</v>
      </c>
    </row>
    <row r="48" spans="2:14" ht="18.75" x14ac:dyDescent="0.25">
      <c r="G48" s="18"/>
      <c r="H48" s="18"/>
      <c r="I48" s="18"/>
      <c r="J48" s="19"/>
      <c r="K48" s="19"/>
      <c r="L48" s="19"/>
      <c r="M48" s="19"/>
    </row>
    <row r="49" spans="2:14" ht="26.25" x14ac:dyDescent="0.25">
      <c r="B49" s="107" t="s">
        <v>56</v>
      </c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</row>
    <row r="50" spans="2:14" s="47" customFormat="1" ht="15.75" x14ac:dyDescent="0.25">
      <c r="B50" s="121" t="s">
        <v>1</v>
      </c>
      <c r="C50" s="110" t="s">
        <v>49</v>
      </c>
      <c r="D50" s="122" t="s">
        <v>80</v>
      </c>
      <c r="E50" s="124" t="s">
        <v>57</v>
      </c>
      <c r="F50" s="13" t="s">
        <v>52</v>
      </c>
      <c r="G50" s="125" t="s">
        <v>3</v>
      </c>
      <c r="H50" s="125"/>
      <c r="I50" s="125"/>
      <c r="J50" s="121" t="s">
        <v>4</v>
      </c>
      <c r="K50" s="121"/>
      <c r="L50" s="121"/>
      <c r="M50" s="121"/>
      <c r="N50" s="121"/>
    </row>
    <row r="51" spans="2:14" s="47" customFormat="1" ht="47.25" x14ac:dyDescent="0.25">
      <c r="B51" s="121"/>
      <c r="C51" s="110"/>
      <c r="D51" s="123"/>
      <c r="E51" s="124"/>
      <c r="F51" s="13" t="s">
        <v>53</v>
      </c>
      <c r="G51" s="41" t="s">
        <v>5</v>
      </c>
      <c r="H51" s="41" t="s">
        <v>6</v>
      </c>
      <c r="I51" s="41" t="s">
        <v>7</v>
      </c>
      <c r="J51" s="16" t="s">
        <v>5</v>
      </c>
      <c r="K51" s="16" t="s">
        <v>6</v>
      </c>
      <c r="L51" s="13" t="s">
        <v>8</v>
      </c>
      <c r="M51" s="13" t="s">
        <v>39</v>
      </c>
      <c r="N51" s="13" t="s">
        <v>40</v>
      </c>
    </row>
    <row r="52" spans="2:14" x14ac:dyDescent="0.25">
      <c r="B52" s="3">
        <v>1</v>
      </c>
      <c r="C52" s="57" t="s">
        <v>45</v>
      </c>
      <c r="D52" s="21" t="s">
        <v>58</v>
      </c>
      <c r="E52" s="5" t="s">
        <v>59</v>
      </c>
      <c r="F52" s="4">
        <v>396</v>
      </c>
      <c r="G52" s="22" t="s">
        <v>10</v>
      </c>
      <c r="H52" s="22">
        <v>396</v>
      </c>
      <c r="I52" s="22">
        <v>2</v>
      </c>
      <c r="J52" s="20" t="s">
        <v>10</v>
      </c>
      <c r="K52" s="20">
        <v>395.82</v>
      </c>
      <c r="L52" s="20">
        <v>2</v>
      </c>
      <c r="M52" s="20">
        <v>1</v>
      </c>
      <c r="N52" s="4" t="s">
        <v>10</v>
      </c>
    </row>
    <row r="53" spans="2:14" ht="15.75" x14ac:dyDescent="0.25">
      <c r="B53" s="3">
        <v>2</v>
      </c>
      <c r="C53" s="57" t="s">
        <v>45</v>
      </c>
      <c r="D53" s="21" t="s">
        <v>58</v>
      </c>
      <c r="E53" s="5" t="s">
        <v>67</v>
      </c>
      <c r="F53" s="96">
        <v>171</v>
      </c>
      <c r="G53" s="9" t="s">
        <v>10</v>
      </c>
      <c r="H53" s="90">
        <v>101</v>
      </c>
      <c r="I53" s="90">
        <v>1</v>
      </c>
      <c r="J53" s="9" t="s">
        <v>10</v>
      </c>
      <c r="K53" s="90">
        <v>101</v>
      </c>
      <c r="L53" s="90">
        <v>1</v>
      </c>
      <c r="M53" s="22">
        <v>1</v>
      </c>
      <c r="N53" s="20" t="s">
        <v>10</v>
      </c>
    </row>
    <row r="54" spans="2:14" ht="18.75" x14ac:dyDescent="0.25">
      <c r="B54" s="26"/>
      <c r="C54" s="29"/>
      <c r="D54" s="103"/>
      <c r="E54" s="28" t="s">
        <v>37</v>
      </c>
      <c r="F54" s="91">
        <f>SUM(F52:F53)</f>
        <v>567</v>
      </c>
      <c r="G54" s="91">
        <f t="shared" ref="G54:N54" si="1">SUM(G52:G53)</f>
        <v>0</v>
      </c>
      <c r="H54" s="91">
        <f t="shared" si="1"/>
        <v>497</v>
      </c>
      <c r="I54" s="91">
        <f t="shared" si="1"/>
        <v>3</v>
      </c>
      <c r="J54" s="91">
        <f t="shared" si="1"/>
        <v>0</v>
      </c>
      <c r="K54" s="91">
        <f t="shared" si="1"/>
        <v>496.82</v>
      </c>
      <c r="L54" s="91">
        <f t="shared" si="1"/>
        <v>3</v>
      </c>
      <c r="M54" s="91">
        <f t="shared" si="1"/>
        <v>2</v>
      </c>
      <c r="N54" s="91">
        <f t="shared" si="1"/>
        <v>0</v>
      </c>
    </row>
  </sheetData>
  <mergeCells count="24">
    <mergeCell ref="G50:I50"/>
    <mergeCell ref="J50:N50"/>
    <mergeCell ref="J3:N3"/>
    <mergeCell ref="E42:F42"/>
    <mergeCell ref="E3:E4"/>
    <mergeCell ref="G3:I3"/>
    <mergeCell ref="F3:F4"/>
    <mergeCell ref="B50:B51"/>
    <mergeCell ref="D44:D45"/>
    <mergeCell ref="D50:D51"/>
    <mergeCell ref="C50:C51"/>
    <mergeCell ref="E50:E51"/>
    <mergeCell ref="K1:N1"/>
    <mergeCell ref="B2:N2"/>
    <mergeCell ref="B43:N43"/>
    <mergeCell ref="B49:N49"/>
    <mergeCell ref="C3:C4"/>
    <mergeCell ref="C44:C45"/>
    <mergeCell ref="G44:I44"/>
    <mergeCell ref="J44:N44"/>
    <mergeCell ref="E44:E45"/>
    <mergeCell ref="B3:B4"/>
    <mergeCell ref="B44:B45"/>
    <mergeCell ref="D3:D4"/>
  </mergeCells>
  <phoneticPr fontId="14" type="noConversion"/>
  <pageMargins left="0.7" right="0.7" top="0.75" bottom="0.75" header="0.3" footer="0.3"/>
  <pageSetup paperSize="8" scale="80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39946AEC9F24197E36E4323A963E4" ma:contentTypeVersion="18" ma:contentTypeDescription="Create a new document." ma:contentTypeScope="" ma:versionID="b5a24b5752585334b8fd186c12b095b7">
  <xsd:schema xmlns:xsd="http://www.w3.org/2001/XMLSchema" xmlns:xs="http://www.w3.org/2001/XMLSchema" xmlns:p="http://schemas.microsoft.com/office/2006/metadata/properties" xmlns:ns3="f0fb8f3b-a766-42a1-9005-2bd7739c63d7" xmlns:ns4="3511ee98-2c1a-44b4-b6d9-e6acc49003eb" targetNamespace="http://schemas.microsoft.com/office/2006/metadata/properties" ma:root="true" ma:fieldsID="88aa94d6df63555b548ca5f246c92fc1" ns3:_="" ns4:_="">
    <xsd:import namespace="f0fb8f3b-a766-42a1-9005-2bd7739c63d7"/>
    <xsd:import namespace="3511ee98-2c1a-44b4-b6d9-e6acc49003e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b8f3b-a766-42a1-9005-2bd7739c63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1ee98-2c1a-44b4-b6d9-e6acc4900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11ee98-2c1a-44b4-b6d9-e6acc49003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C32336-4444-4BCA-9862-1186F60F3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b8f3b-a766-42a1-9005-2bd7739c63d7"/>
    <ds:schemaRef ds:uri="3511ee98-2c1a-44b4-b6d9-e6acc4900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21F441-6FCD-49E5-8B39-A62F74D602AC}">
  <ds:schemaRefs>
    <ds:schemaRef ds:uri="http://purl.org/dc/elements/1.1/"/>
    <ds:schemaRef ds:uri="http://schemas.microsoft.com/office/2006/documentManagement/types"/>
    <ds:schemaRef ds:uri="f0fb8f3b-a766-42a1-9005-2bd7739c63d7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511ee98-2c1a-44b4-b6d9-e6acc49003eb"/>
  </ds:schemaRefs>
</ds:datastoreItem>
</file>

<file path=customXml/itemProps3.xml><?xml version="1.0" encoding="utf-8"?>
<ds:datastoreItem xmlns:ds="http://schemas.openxmlformats.org/officeDocument/2006/customXml" ds:itemID="{CB6995FF-9C0F-4450-AC82-CF5C78DE80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Operated</vt:lpstr>
      <vt:lpstr>Operated!Print_Area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Ahmed Choudhury ( शाकिर अहमद चौधुरी )</dc:creator>
  <cp:lastModifiedBy>Rittu Kumari ( रितु कुमारी ) </cp:lastModifiedBy>
  <cp:lastPrinted>2026-03-13T10:23:58Z</cp:lastPrinted>
  <dcterms:created xsi:type="dcterms:W3CDTF">2015-06-05T18:17:20Z</dcterms:created>
  <dcterms:modified xsi:type="dcterms:W3CDTF">2026-03-13T12:04:57Z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0x01010011539946AEC9F24197E36E4323A963E4</vt:lpwstr>
  </property>
</Properties>
</file>